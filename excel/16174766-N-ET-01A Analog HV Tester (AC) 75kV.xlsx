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yur Dual\Desktop\"/>
    </mc:Choice>
  </mc:AlternateContent>
  <bookViews>
    <workbookView xWindow="0" yWindow="0" windowWidth="15255" windowHeight="8370" tabRatio="597" activeTab="1"/>
  </bookViews>
  <sheets>
    <sheet name="Sheet1" sheetId="1" r:id="rId1"/>
    <sheet name="Sheet2" sheetId="2" r:id="rId2"/>
  </sheets>
  <definedNames>
    <definedName name="_xlnm.Print_Area" localSheetId="0">Sheet1!$A$1:$N$119</definedName>
  </definedNames>
  <calcPr calcId="162913"/>
</workbook>
</file>

<file path=xl/calcChain.xml><?xml version="1.0" encoding="utf-8"?>
<calcChain xmlns="http://schemas.openxmlformats.org/spreadsheetml/2006/main">
  <c r="F20" i="1" l="1"/>
  <c r="N68" i="1"/>
  <c r="D70" i="1"/>
  <c r="M70" i="1"/>
  <c r="D71" i="1"/>
  <c r="M71" i="1"/>
  <c r="P75" i="1"/>
  <c r="P76" i="1"/>
  <c r="R76" i="1"/>
  <c r="E78" i="1"/>
  <c r="G78" i="1"/>
  <c r="I78" i="1"/>
  <c r="O78" i="1"/>
  <c r="U78" i="1"/>
  <c r="V78" i="1"/>
  <c r="W78" i="1" s="1"/>
  <c r="AH78" i="1" s="1"/>
  <c r="Z78" i="1"/>
  <c r="AC78" i="1"/>
  <c r="AG78" i="1"/>
  <c r="H79" i="1"/>
  <c r="J79" i="1"/>
  <c r="O79" i="1"/>
  <c r="U79" i="1"/>
  <c r="V79" i="1"/>
  <c r="W79" i="1" s="1"/>
  <c r="AH79" i="1" s="1"/>
  <c r="Z79" i="1"/>
  <c r="AC79" i="1"/>
  <c r="AG79" i="1"/>
  <c r="H80" i="1"/>
  <c r="J80" i="1" s="1"/>
  <c r="O80" i="1"/>
  <c r="U80" i="1"/>
  <c r="V80" i="1"/>
  <c r="W80" i="1" s="1"/>
  <c r="AH80" i="1" s="1"/>
  <c r="Z80" i="1"/>
  <c r="AC80" i="1"/>
  <c r="AG80" i="1"/>
  <c r="H81" i="1"/>
  <c r="J81" i="1" s="1"/>
  <c r="O81" i="1"/>
  <c r="AG81" i="1" s="1"/>
  <c r="AH81" i="1" s="1"/>
  <c r="U81" i="1"/>
  <c r="V81" i="1"/>
  <c r="W81" i="1"/>
  <c r="Z81" i="1"/>
  <c r="AC81" i="1"/>
  <c r="H82" i="1"/>
  <c r="J82" i="1" s="1"/>
  <c r="O82" i="1"/>
  <c r="AG82" i="1" s="1"/>
  <c r="U82" i="1"/>
  <c r="V82" i="1"/>
  <c r="Z82" i="1"/>
  <c r="AC82" i="1"/>
  <c r="H83" i="1"/>
  <c r="J83" i="1" s="1"/>
  <c r="O83" i="1"/>
  <c r="U83" i="1"/>
  <c r="V83" i="1"/>
  <c r="W83" i="1" s="1"/>
  <c r="AH83" i="1" s="1"/>
  <c r="Z83" i="1"/>
  <c r="AC83" i="1"/>
  <c r="AG83" i="1"/>
  <c r="H84" i="1"/>
  <c r="J84" i="1"/>
  <c r="O84" i="1"/>
  <c r="U84" i="1"/>
  <c r="V84" i="1"/>
  <c r="W84" i="1" s="1"/>
  <c r="AH84" i="1" s="1"/>
  <c r="Z84" i="1"/>
  <c r="AC84" i="1"/>
  <c r="AG84" i="1"/>
  <c r="H85" i="1"/>
  <c r="J85" i="1"/>
  <c r="O85" i="1"/>
  <c r="AG85" i="1" s="1"/>
  <c r="AH85" i="1" s="1"/>
  <c r="U85" i="1"/>
  <c r="V85" i="1"/>
  <c r="W85" i="1"/>
  <c r="Z85" i="1"/>
  <c r="AC85" i="1"/>
  <c r="E2" i="2"/>
  <c r="N2" i="2"/>
  <c r="E3" i="2"/>
  <c r="N3" i="2"/>
  <c r="G5" i="2"/>
  <c r="G6" i="2"/>
  <c r="G7" i="2"/>
  <c r="B14" i="2"/>
  <c r="B15" i="2"/>
  <c r="D15" i="2"/>
  <c r="A17" i="2"/>
  <c r="G17" i="2"/>
  <c r="H17" i="2"/>
  <c r="I17" i="2"/>
  <c r="T17" i="2" s="1"/>
  <c r="L17" i="2"/>
  <c r="O17" i="2"/>
  <c r="S17" i="2"/>
  <c r="A18" i="2"/>
  <c r="G18" i="2"/>
  <c r="H18" i="2"/>
  <c r="I18" i="2"/>
  <c r="T18" i="2" s="1"/>
  <c r="L18" i="2"/>
  <c r="O18" i="2"/>
  <c r="S18" i="2"/>
  <c r="A19" i="2"/>
  <c r="G19" i="2"/>
  <c r="H19" i="2"/>
  <c r="I19" i="2"/>
  <c r="L19" i="2"/>
  <c r="O19" i="2"/>
  <c r="S19" i="2"/>
  <c r="T19" i="2"/>
  <c r="A20" i="2"/>
  <c r="G20" i="2"/>
  <c r="H20" i="2"/>
  <c r="I20" i="2"/>
  <c r="T20" i="2" s="1"/>
  <c r="L20" i="2"/>
  <c r="O20" i="2"/>
  <c r="S20" i="2"/>
  <c r="A21" i="2"/>
  <c r="G21" i="2"/>
  <c r="H21" i="2"/>
  <c r="I21" i="2"/>
  <c r="T21" i="2" s="1"/>
  <c r="L21" i="2"/>
  <c r="O21" i="2"/>
  <c r="S21" i="2"/>
  <c r="A22" i="2"/>
  <c r="G22" i="2"/>
  <c r="H22" i="2"/>
  <c r="I22" i="2"/>
  <c r="L22" i="2"/>
  <c r="O22" i="2"/>
  <c r="S22" i="2"/>
  <c r="T22" i="2"/>
  <c r="A23" i="2"/>
  <c r="G23" i="2"/>
  <c r="H23" i="2"/>
  <c r="I23" i="2"/>
  <c r="T23" i="2" s="1"/>
  <c r="L23" i="2"/>
  <c r="O23" i="2"/>
  <c r="S23" i="2"/>
  <c r="A24" i="2"/>
  <c r="G24" i="2"/>
  <c r="H24" i="2"/>
  <c r="I24" i="2"/>
  <c r="T24" i="2" s="1"/>
  <c r="L24" i="2"/>
  <c r="O24" i="2"/>
  <c r="S24" i="2"/>
  <c r="AI78" i="1" l="1"/>
  <c r="AJ78" i="1" s="1"/>
  <c r="AK78" i="1" s="1"/>
  <c r="AN78" i="1" s="1"/>
  <c r="U21" i="2"/>
  <c r="V21" i="2" s="1"/>
  <c r="W21" i="2" s="1"/>
  <c r="Z21" i="2" s="1"/>
  <c r="W17" i="2"/>
  <c r="Z17" i="2" s="1"/>
  <c r="U17" i="2"/>
  <c r="V17" i="2" s="1"/>
  <c r="AI79" i="1"/>
  <c r="AJ79" i="1" s="1"/>
  <c r="AK79" i="1" s="1"/>
  <c r="AN79" i="1" s="1"/>
  <c r="L79" i="1" s="1"/>
  <c r="U18" i="2"/>
  <c r="V18" i="2" s="1"/>
  <c r="W18" i="2" s="1"/>
  <c r="Z18" i="2" s="1"/>
  <c r="AI83" i="1"/>
  <c r="AJ83" i="1" s="1"/>
  <c r="AK83" i="1" s="1"/>
  <c r="AN83" i="1" s="1"/>
  <c r="L83" i="1" s="1"/>
  <c r="AI80" i="1"/>
  <c r="AJ80" i="1" s="1"/>
  <c r="AK80" i="1" s="1"/>
  <c r="AN80" i="1" s="1"/>
  <c r="L80" i="1" s="1"/>
  <c r="AI85" i="1"/>
  <c r="AJ85" i="1" s="1"/>
  <c r="AK85" i="1"/>
  <c r="AN85" i="1" s="1"/>
  <c r="L85" i="1" s="1"/>
  <c r="U23" i="2"/>
  <c r="V23" i="2" s="1"/>
  <c r="W23" i="2" s="1"/>
  <c r="Z23" i="2" s="1"/>
  <c r="AI81" i="1"/>
  <c r="AJ81" i="1" s="1"/>
  <c r="AK81" i="1" s="1"/>
  <c r="AN81" i="1" s="1"/>
  <c r="L81" i="1" s="1"/>
  <c r="W24" i="2"/>
  <c r="Z24" i="2" s="1"/>
  <c r="U24" i="2"/>
  <c r="V24" i="2" s="1"/>
  <c r="AK84" i="1"/>
  <c r="AN84" i="1" s="1"/>
  <c r="L84" i="1" s="1"/>
  <c r="AI84" i="1"/>
  <c r="AJ84" i="1" s="1"/>
  <c r="U20" i="2"/>
  <c r="V20" i="2" s="1"/>
  <c r="W20" i="2" s="1"/>
  <c r="Z20" i="2" s="1"/>
  <c r="W19" i="2"/>
  <c r="Z19" i="2" s="1"/>
  <c r="U22" i="2"/>
  <c r="V22" i="2" s="1"/>
  <c r="W22" i="2" s="1"/>
  <c r="Z22" i="2" s="1"/>
  <c r="U19" i="2"/>
  <c r="V19" i="2" s="1"/>
  <c r="W82" i="1"/>
  <c r="AH82" i="1" s="1"/>
  <c r="AI82" i="1" l="1"/>
  <c r="AJ82" i="1" s="1"/>
  <c r="AK82" i="1" s="1"/>
  <c r="AN82" i="1" s="1"/>
  <c r="L82" i="1" s="1"/>
</calcChain>
</file>

<file path=xl/comments1.xml><?xml version="1.0" encoding="utf-8"?>
<comments xmlns="http://schemas.openxmlformats.org/spreadsheetml/2006/main">
  <authors>
    <author>user</author>
  </authors>
  <commentList>
    <comment ref="X77" authorId="0" shapeId="0">
      <text>
        <r>
          <rPr>
            <sz val="9"/>
            <rFont val="Times New Roman"/>
            <family val="1"/>
          </rPr>
          <t xml:space="preserve">user:
</t>
        </r>
        <r>
          <rPr>
            <sz val="9"/>
            <rFont val="Times New Roman"/>
            <family val="1"/>
          </rPr>
          <t>Stadard's Calibrator Uncertainty taken from Cal. Certificate</t>
        </r>
      </text>
    </comment>
    <comment ref="AA77" authorId="0" shapeId="0">
      <text>
        <r>
          <rPr>
            <sz val="9"/>
            <rFont val="Times New Roman"/>
            <family val="1"/>
          </rPr>
          <t xml:space="preserve">user:
</t>
        </r>
        <r>
          <rPr>
            <sz val="9"/>
            <rFont val="Times New Roman"/>
            <family val="1"/>
          </rPr>
          <t>Standard's Calibrator  Accuracy taken from Manf. Specification</t>
        </r>
      </text>
    </comment>
    <comment ref="AE77" authorId="0" shapeId="0">
      <text>
        <r>
          <rPr>
            <sz val="9"/>
            <rFont val="Times New Roman"/>
            <family val="1"/>
          </rPr>
          <t xml:space="preserve">user:
</t>
        </r>
        <r>
          <rPr>
            <sz val="9"/>
            <rFont val="Times New Roman"/>
            <family val="1"/>
          </rPr>
          <t>UUC Resolution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16" authorId="0" shapeId="0">
      <text>
        <r>
          <rPr>
            <sz val="9"/>
            <rFont val="Times New Roman"/>
            <family val="1"/>
          </rPr>
          <t xml:space="preserve">user:
</t>
        </r>
        <r>
          <rPr>
            <sz val="9"/>
            <rFont val="Times New Roman"/>
            <family val="1"/>
          </rPr>
          <t>Stadard's Calibrator Uncertainty taken from Cal. Certificate</t>
        </r>
      </text>
    </comment>
    <comment ref="M16" authorId="0" shapeId="0">
      <text>
        <r>
          <rPr>
            <sz val="9"/>
            <rFont val="Times New Roman"/>
            <family val="1"/>
          </rPr>
          <t xml:space="preserve">user:
</t>
        </r>
        <r>
          <rPr>
            <sz val="9"/>
            <rFont val="Times New Roman"/>
            <family val="1"/>
          </rPr>
          <t>Standard's Calibrator  Accuracy taken from Manf. Specification</t>
        </r>
      </text>
    </comment>
    <comment ref="Q16" authorId="0" shapeId="0">
      <text>
        <r>
          <rPr>
            <sz val="9"/>
            <rFont val="Times New Roman"/>
            <family val="1"/>
          </rPr>
          <t xml:space="preserve">user:
</t>
        </r>
        <r>
          <rPr>
            <sz val="9"/>
            <rFont val="Times New Roman"/>
            <family val="1"/>
          </rPr>
          <t>UUC Resolution</t>
        </r>
      </text>
    </comment>
  </commentList>
</comments>
</file>

<file path=xl/sharedStrings.xml><?xml version="1.0" encoding="utf-8"?>
<sst xmlns="http://schemas.openxmlformats.org/spreadsheetml/2006/main" count="159" uniqueCount="109">
  <si>
    <t xml:space="preserve">          AUTOCAL SOLUTIONS PVT. LTD.</t>
  </si>
  <si>
    <r>
      <t xml:space="preserve">               Laboratory:</t>
    </r>
    <r>
      <rPr>
        <sz val="10"/>
        <color indexed="8"/>
        <rFont val="Arial"/>
        <family val="2"/>
      </rPr>
      <t xml:space="preserve"> 06, Gurusampada Society, Vanvihar Colony,</t>
    </r>
  </si>
  <si>
    <t xml:space="preserve">                Behind Bhonsala School, Nashik - 422 005, Maharashtra, India.</t>
  </si>
  <si>
    <t xml:space="preserve">              Email Id: nashiklab@autocal.net  Web Adderess: www.autocal.net</t>
  </si>
  <si>
    <t xml:space="preserve">             Phone No.: (0253) 2352168</t>
  </si>
  <si>
    <t>Cert. No.: C-1505</t>
  </si>
  <si>
    <t xml:space="preserve">     </t>
  </si>
  <si>
    <t>CALIBRATION CERTIFICATE</t>
  </si>
  <si>
    <t>5.10/R/E-01,Rev. 01</t>
  </si>
  <si>
    <t>Page 1 of 2</t>
  </si>
  <si>
    <t>Certificate No.</t>
  </si>
  <si>
    <t>16174766/N/ET/01</t>
  </si>
  <si>
    <t>Issue Date</t>
  </si>
  <si>
    <t>17/02/2017</t>
  </si>
  <si>
    <t>Date of Calibration</t>
  </si>
  <si>
    <t>16/02/2017</t>
  </si>
  <si>
    <t>Recommended Next Calibration Date</t>
  </si>
  <si>
    <t>15/02/2018</t>
  </si>
  <si>
    <t>Service Request Form No.</t>
  </si>
  <si>
    <t>Calibrated for</t>
  </si>
  <si>
    <t>M/s.Enam Casting Pvt Ltd</t>
  </si>
  <si>
    <t>D-72,MIDC Area, Satpur,Nashik - 422 007.</t>
  </si>
  <si>
    <t>Date of Receipt of Instrument</t>
  </si>
  <si>
    <t>Condition of Instrument on Receipt</t>
  </si>
  <si>
    <t>Working</t>
  </si>
  <si>
    <t>Calibrated at</t>
  </si>
  <si>
    <t>Site</t>
  </si>
  <si>
    <t>Details of Unit Under Calibration (UUC) :</t>
  </si>
  <si>
    <t>Description</t>
  </si>
  <si>
    <t>Analog H.V. Tester (AC)</t>
  </si>
  <si>
    <t xml:space="preserve">Range </t>
  </si>
  <si>
    <t>0  to 100 kV AC @ 50Hz</t>
  </si>
  <si>
    <t>Make / Model</t>
  </si>
  <si>
    <t>Ericon Transformer</t>
  </si>
  <si>
    <t>Resolution</t>
  </si>
  <si>
    <t>2 kV AC</t>
  </si>
  <si>
    <t>Serial No.</t>
  </si>
  <si>
    <t>HVT-726</t>
  </si>
  <si>
    <t>Accuracy</t>
  </si>
  <si>
    <t>±5% Fsd</t>
  </si>
  <si>
    <t>ID No.</t>
  </si>
  <si>
    <t>---</t>
  </si>
  <si>
    <t>Work Instruction No.</t>
  </si>
  <si>
    <t>WI/ASPL/CAL/ET-06 &amp;19</t>
  </si>
  <si>
    <t>Environmental Conditions :</t>
  </si>
  <si>
    <t>Temperature</t>
  </si>
  <si>
    <t>25 ±5°C</t>
  </si>
  <si>
    <t>Relative Humidity</t>
  </si>
  <si>
    <t>60 ±15%RH</t>
  </si>
  <si>
    <r>
      <t xml:space="preserve">Details of Standard Used for Calibration </t>
    </r>
    <r>
      <rPr>
        <b/>
        <sz val="9"/>
        <color indexed="8"/>
        <rFont val="Arial"/>
        <family val="2"/>
      </rPr>
      <t>(Traceable to National / International Standards)</t>
    </r>
  </si>
  <si>
    <t>Traceability 
( Certificate No. )</t>
  </si>
  <si>
    <t>Valid Upto</t>
  </si>
  <si>
    <t xml:space="preserve">H.V. Divider with kV meter  </t>
  </si>
  <si>
    <t>Wavetek / 9100</t>
  </si>
  <si>
    <t>STD/NSK/ET-01</t>
  </si>
  <si>
    <t>ASPL, Vasai</t>
  </si>
  <si>
    <t>23/02/2017</t>
  </si>
  <si>
    <t>( 15164490/ET/11 )</t>
  </si>
  <si>
    <r>
      <t xml:space="preserve">Measurement Result            </t>
    </r>
    <r>
      <rPr>
        <sz val="9"/>
        <color indexed="8"/>
        <rFont val="Arial"/>
        <family val="2"/>
      </rPr>
      <t>Refer to Page No. 2</t>
    </r>
  </si>
  <si>
    <t>Remarks</t>
  </si>
  <si>
    <t>1. The reported expanded uncertainty of measurement is stated as a standard uncertainty of measurement multiplied by coverage factor 'k' such that the coverage probabilty corresponds to approximately 95.45% confidence level.</t>
  </si>
  <si>
    <t>2. The measured values mentioned are the average of 5 readings.</t>
  </si>
  <si>
    <t>3. Measured readings have been mentioned.</t>
  </si>
  <si>
    <t>4. Readings taken as per customer request.</t>
  </si>
  <si>
    <t>Notes</t>
  </si>
  <si>
    <t>1. This report refers only to particular item calibrated at site/ Laboratory.</t>
  </si>
  <si>
    <t>2. The calibration results reported are valid at the time of and under the stated conditions of measurement.</t>
  </si>
  <si>
    <t>3. Any correction in this certificate invalidates this certificate.</t>
  </si>
  <si>
    <t>4. This certificate shall not be reproduced except, in full without the written approval from the Laboratory.</t>
  </si>
  <si>
    <t>Calibrated By</t>
  </si>
  <si>
    <t>Authorised Signatory</t>
  </si>
  <si>
    <t>Bhupendra Ozarkar</t>
  </si>
  <si>
    <t>Baviskar P.U.</t>
  </si>
  <si>
    <t>Calibration Engineer</t>
  </si>
  <si>
    <t>Technical Manager</t>
  </si>
  <si>
    <t xml:space="preserve">               Laboratory: 06, Gurusampada Society, Vanvihar Colony,</t>
  </si>
  <si>
    <t xml:space="preserve">              Email Id: nashiklab@autocal.net  Web Address: www.autocal.net</t>
  </si>
  <si>
    <t>Page 2 of 2</t>
  </si>
  <si>
    <t>Measurement Result</t>
  </si>
  <si>
    <t xml:space="preserve">UNCERTAINTY EVALUATION </t>
  </si>
  <si>
    <t>Range</t>
  </si>
  <si>
    <t>Test Point</t>
  </si>
  <si>
    <t>Nominal Value on Standard</t>
  </si>
  <si>
    <t>Measured
Value
on UUC</t>
  </si>
  <si>
    <t>Deviation</t>
  </si>
  <si>
    <t>Deviation            (%Fsd)</t>
  </si>
  <si>
    <t>(±)                              Expanded Uncertainty 
(%Fsd)</t>
  </si>
  <si>
    <t>Coverage Factor               (k)</t>
  </si>
  <si>
    <t>Parameter : High Voltage AC @ 50 Hz</t>
  </si>
  <si>
    <t>Type "A" (Repeatability)</t>
  </si>
  <si>
    <t>Avg.</t>
  </si>
  <si>
    <t>SD</t>
  </si>
  <si>
    <t>Ua</t>
  </si>
  <si>
    <t>Limits (%)</t>
  </si>
  <si>
    <t>Divisor</t>
  </si>
  <si>
    <t>Ub1</t>
  </si>
  <si>
    <t>Ub2</t>
  </si>
  <si>
    <t>Limits (A)</t>
  </si>
  <si>
    <t>Ub3 (%)</t>
  </si>
  <si>
    <t>Uc (%)</t>
  </si>
  <si>
    <t>DOF</t>
  </si>
  <si>
    <t>k</t>
  </si>
  <si>
    <t>Ux (%)</t>
  </si>
  <si>
    <t>CMC as per Scope (%rdg)</t>
  </si>
  <si>
    <t>0 to 100kV AC @ 50Hz</t>
  </si>
  <si>
    <t>kV</t>
  </si>
  <si>
    <t xml:space="preserve"> </t>
  </si>
  <si>
    <t>********** End of Certificate **********</t>
  </si>
  <si>
    <t>Final 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</si>
</sst>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0.0_ "/>
    <numFmt numFmtId="177" formatCode="0.0"/>
    <numFmt numFmtId="178" formatCode="0.000000"/>
    <numFmt numFmtId="179" formatCode="0.000"/>
    <numFmt numFmtId="180" formatCode="0.0000000_ "/>
    <numFmt numFmtId="181" formatCode="0.00000"/>
    <numFmt numFmtId="182" formatCode="0.00_ "/>
    <numFmt numFmtId="183" formatCode="0.0000"/>
    <numFmt numFmtId="184" formatCode="0.0E+00"/>
    <numFmt numFmtId="185" formatCode="0.00000_ "/>
  </numFmts>
  <fonts count="36" x14ac:knownFonts="1"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Calibri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20"/>
      <color indexed="8"/>
      <name val="Arial"/>
      <family val="2"/>
    </font>
    <font>
      <b/>
      <sz val="18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14"/>
      <color indexed="8"/>
      <name val="Arial"/>
      <family val="2"/>
    </font>
    <font>
      <b/>
      <sz val="7"/>
      <color indexed="8"/>
      <name val="Arial"/>
      <family val="2"/>
    </font>
    <font>
      <sz val="7"/>
      <color indexed="8"/>
      <name val="Arial"/>
      <family val="2"/>
    </font>
    <font>
      <b/>
      <sz val="8"/>
      <color indexed="8"/>
      <name val="Arial"/>
      <family val="2"/>
    </font>
    <font>
      <sz val="9"/>
      <color indexed="9"/>
      <name val="Arial"/>
      <family val="2"/>
    </font>
    <font>
      <sz val="5"/>
      <color indexed="8"/>
      <name val="Arial"/>
      <family val="2"/>
    </font>
    <font>
      <sz val="11"/>
      <color indexed="8"/>
      <name val="Times New Roman"/>
      <family val="1"/>
    </font>
    <font>
      <b/>
      <u/>
      <sz val="9"/>
      <color indexed="8"/>
      <name val="Arial"/>
      <family val="2"/>
    </font>
    <font>
      <b/>
      <sz val="10"/>
      <name val="Arial"/>
      <family val="2"/>
    </font>
    <font>
      <sz val="8"/>
      <color indexed="8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6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0" xfId="0" applyFont="1" applyBorder="1"/>
    <xf numFmtId="0" fontId="6" fillId="4" borderId="6" xfId="0" applyFont="1" applyFill="1" applyBorder="1" applyAlignment="1">
      <alignment vertical="top"/>
    </xf>
    <xf numFmtId="0" fontId="7" fillId="4" borderId="0" xfId="0" applyFont="1" applyFill="1" applyBorder="1" applyAlignment="1">
      <alignment vertical="top"/>
    </xf>
    <xf numFmtId="0" fontId="6" fillId="4" borderId="0" xfId="0" applyFont="1" applyFill="1" applyBorder="1" applyAlignment="1">
      <alignment vertical="top"/>
    </xf>
    <xf numFmtId="0" fontId="8" fillId="0" borderId="0" xfId="0" applyFont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1" xfId="0" applyFont="1" applyFill="1" applyBorder="1" applyAlignment="1">
      <alignment horizontal="center"/>
    </xf>
    <xf numFmtId="0" fontId="1" fillId="0" borderId="8" xfId="0" applyFont="1" applyBorder="1"/>
    <xf numFmtId="0" fontId="1" fillId="0" borderId="0" xfId="0" applyFont="1" applyBorder="1"/>
    <xf numFmtId="0" fontId="1" fillId="0" borderId="9" xfId="0" applyFont="1" applyBorder="1"/>
    <xf numFmtId="0" fontId="1" fillId="0" borderId="0" xfId="0" applyFont="1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76" fontId="1" fillId="0" borderId="4" xfId="0" applyNumberFormat="1" applyFont="1" applyFill="1" applyBorder="1" applyAlignment="1">
      <alignment vertical="center"/>
    </xf>
    <xf numFmtId="2" fontId="1" fillId="0" borderId="14" xfId="0" applyNumberFormat="1" applyFont="1" applyFill="1" applyBorder="1" applyAlignment="1">
      <alignment horizontal="right" vertical="center" wrapText="1"/>
    </xf>
    <xf numFmtId="177" fontId="10" fillId="0" borderId="15" xfId="0" applyNumberFormat="1" applyFont="1" applyFill="1" applyBorder="1" applyAlignment="1">
      <alignment horizontal="center" vertical="center"/>
    </xf>
    <xf numFmtId="178" fontId="10" fillId="0" borderId="15" xfId="0" applyNumberFormat="1" applyFont="1" applyFill="1" applyBorder="1" applyAlignment="1">
      <alignment horizontal="center" vertical="center"/>
    </xf>
    <xf numFmtId="2" fontId="1" fillId="0" borderId="16" xfId="0" applyNumberFormat="1" applyFont="1" applyFill="1" applyBorder="1" applyAlignment="1">
      <alignment horizontal="right" vertical="center" wrapText="1"/>
    </xf>
    <xf numFmtId="177" fontId="10" fillId="0" borderId="17" xfId="0" applyNumberFormat="1" applyFont="1" applyFill="1" applyBorder="1" applyAlignment="1">
      <alignment horizontal="center" vertical="center"/>
    </xf>
    <xf numFmtId="178" fontId="10" fillId="0" borderId="17" xfId="0" applyNumberFormat="1" applyFont="1" applyFill="1" applyBorder="1" applyAlignment="1">
      <alignment horizontal="center" vertical="center"/>
    </xf>
    <xf numFmtId="2" fontId="1" fillId="0" borderId="18" xfId="0" applyNumberFormat="1" applyFont="1" applyFill="1" applyBorder="1" applyAlignment="1">
      <alignment horizontal="right" vertical="center" wrapText="1"/>
    </xf>
    <xf numFmtId="177" fontId="10" fillId="0" borderId="19" xfId="0" applyNumberFormat="1" applyFont="1" applyFill="1" applyBorder="1" applyAlignment="1">
      <alignment horizontal="center" vertical="center"/>
    </xf>
    <xf numFmtId="178" fontId="10" fillId="0" borderId="19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vertical="top"/>
    </xf>
    <xf numFmtId="0" fontId="6" fillId="4" borderId="9" xfId="0" applyFont="1" applyFill="1" applyBorder="1" applyAlignment="1">
      <alignment vertical="top"/>
    </xf>
    <xf numFmtId="0" fontId="1" fillId="0" borderId="0" xfId="0" applyFont="1" applyFill="1"/>
    <xf numFmtId="0" fontId="1" fillId="0" borderId="13" xfId="0" applyFont="1" applyFill="1" applyBorder="1" applyAlignment="1">
      <alignment horizontal="center" vertical="center"/>
    </xf>
    <xf numFmtId="2" fontId="10" fillId="0" borderId="14" xfId="0" applyNumberFormat="1" applyFont="1" applyFill="1" applyBorder="1" applyAlignment="1">
      <alignment horizontal="center" vertical="center" wrapText="1"/>
    </xf>
    <xf numFmtId="179" fontId="27" fillId="3" borderId="15" xfId="0" applyNumberFormat="1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2" fontId="10" fillId="3" borderId="15" xfId="0" applyNumberFormat="1" applyFont="1" applyFill="1" applyBorder="1" applyAlignment="1">
      <alignment horizontal="center" vertical="center"/>
    </xf>
    <xf numFmtId="180" fontId="10" fillId="0" borderId="15" xfId="0" applyNumberFormat="1" applyFont="1" applyFill="1" applyBorder="1" applyAlignment="1">
      <alignment horizontal="center" vertical="center"/>
    </xf>
    <xf numFmtId="2" fontId="10" fillId="0" borderId="16" xfId="0" applyNumberFormat="1" applyFont="1" applyFill="1" applyBorder="1" applyAlignment="1">
      <alignment horizontal="center" vertical="center" wrapText="1"/>
    </xf>
    <xf numFmtId="179" fontId="27" fillId="3" borderId="17" xfId="0" applyNumberFormat="1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2" fontId="10" fillId="3" borderId="17" xfId="0" applyNumberFormat="1" applyFont="1" applyFill="1" applyBorder="1" applyAlignment="1">
      <alignment horizontal="center" vertical="center"/>
    </xf>
    <xf numFmtId="180" fontId="10" fillId="0" borderId="17" xfId="0" applyNumberFormat="1" applyFont="1" applyFill="1" applyBorder="1" applyAlignment="1">
      <alignment horizontal="center" vertical="center"/>
    </xf>
    <xf numFmtId="2" fontId="10" fillId="0" borderId="18" xfId="0" applyNumberFormat="1" applyFont="1" applyFill="1" applyBorder="1" applyAlignment="1">
      <alignment horizontal="center" vertical="center" wrapText="1"/>
    </xf>
    <xf numFmtId="179" fontId="27" fillId="3" borderId="19" xfId="0" applyNumberFormat="1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2" fontId="10" fillId="3" borderId="19" xfId="0" applyNumberFormat="1" applyFont="1" applyFill="1" applyBorder="1" applyAlignment="1">
      <alignment horizontal="center" vertical="center"/>
    </xf>
    <xf numFmtId="180" fontId="10" fillId="0" borderId="19" xfId="0" applyNumberFormat="1" applyFont="1" applyFill="1" applyBorder="1" applyAlignment="1">
      <alignment horizontal="center" vertical="center"/>
    </xf>
    <xf numFmtId="0" fontId="11" fillId="0" borderId="0" xfId="0" applyFont="1"/>
    <xf numFmtId="0" fontId="2" fillId="0" borderId="0" xfId="0" applyFont="1"/>
    <xf numFmtId="0" fontId="28" fillId="0" borderId="13" xfId="0" applyFont="1" applyBorder="1" applyAlignment="1">
      <alignment horizontal="center" vertical="center"/>
    </xf>
    <xf numFmtId="2" fontId="1" fillId="3" borderId="15" xfId="0" applyNumberFormat="1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181" fontId="29" fillId="0" borderId="15" xfId="0" applyNumberFormat="1" applyFont="1" applyFill="1" applyBorder="1" applyAlignment="1">
      <alignment horizontal="center" vertical="center"/>
    </xf>
    <xf numFmtId="182" fontId="30" fillId="0" borderId="15" xfId="0" applyNumberFormat="1" applyFont="1" applyFill="1" applyBorder="1" applyAlignment="1">
      <alignment horizontal="center" vertical="center"/>
    </xf>
    <xf numFmtId="11" fontId="29" fillId="0" borderId="15" xfId="0" applyNumberFormat="1" applyFont="1" applyFill="1" applyBorder="1" applyAlignment="1">
      <alignment horizontal="center" vertical="center"/>
    </xf>
    <xf numFmtId="1" fontId="29" fillId="0" borderId="15" xfId="0" applyNumberFormat="1" applyFont="1" applyFill="1" applyBorder="1" applyAlignment="1">
      <alignment horizontal="center" vertical="center"/>
    </xf>
    <xf numFmtId="2" fontId="30" fillId="0" borderId="15" xfId="0" applyNumberFormat="1" applyFont="1" applyFill="1" applyBorder="1" applyAlignment="1">
      <alignment horizontal="center" vertical="center"/>
    </xf>
    <xf numFmtId="2" fontId="29" fillId="0" borderId="15" xfId="0" applyNumberFormat="1" applyFont="1" applyFill="1" applyBorder="1" applyAlignment="1">
      <alignment horizontal="center" vertical="center"/>
    </xf>
    <xf numFmtId="2" fontId="1" fillId="3" borderId="17" xfId="0" applyNumberFormat="1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181" fontId="1" fillId="0" borderId="17" xfId="0" applyNumberFormat="1" applyFont="1" applyFill="1" applyBorder="1" applyAlignment="1">
      <alignment horizontal="center" vertical="center"/>
    </xf>
    <xf numFmtId="182" fontId="28" fillId="0" borderId="17" xfId="0" applyNumberFormat="1" applyFont="1" applyFill="1" applyBorder="1" applyAlignment="1">
      <alignment horizontal="center" vertical="center"/>
    </xf>
    <xf numFmtId="11" fontId="10" fillId="0" borderId="17" xfId="0" applyNumberFormat="1" applyFont="1" applyFill="1" applyBorder="1" applyAlignment="1">
      <alignment horizontal="center" vertical="center"/>
    </xf>
    <xf numFmtId="1" fontId="10" fillId="0" borderId="17" xfId="0" applyNumberFormat="1" applyFont="1" applyFill="1" applyBorder="1" applyAlignment="1">
      <alignment horizontal="center" vertical="center"/>
    </xf>
    <xf numFmtId="2" fontId="28" fillId="0" borderId="17" xfId="0" applyNumberFormat="1" applyFont="1" applyFill="1" applyBorder="1" applyAlignment="1">
      <alignment horizontal="center" vertical="center"/>
    </xf>
    <xf numFmtId="2" fontId="31" fillId="0" borderId="17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181" fontId="1" fillId="0" borderId="19" xfId="0" applyNumberFormat="1" applyFont="1" applyFill="1" applyBorder="1" applyAlignment="1">
      <alignment horizontal="center" vertical="center"/>
    </xf>
    <xf numFmtId="182" fontId="28" fillId="0" borderId="19" xfId="0" applyNumberFormat="1" applyFont="1" applyFill="1" applyBorder="1" applyAlignment="1">
      <alignment horizontal="center" vertical="center"/>
    </xf>
    <xf numFmtId="11" fontId="10" fillId="0" borderId="19" xfId="0" applyNumberFormat="1" applyFont="1" applyFill="1" applyBorder="1" applyAlignment="1">
      <alignment horizontal="center" vertical="center"/>
    </xf>
    <xf numFmtId="1" fontId="10" fillId="0" borderId="19" xfId="0" applyNumberFormat="1" applyFont="1" applyFill="1" applyBorder="1" applyAlignment="1">
      <alignment horizontal="center" vertical="center"/>
    </xf>
    <xf numFmtId="2" fontId="28" fillId="0" borderId="19" xfId="0" applyNumberFormat="1" applyFont="1" applyFill="1" applyBorder="1" applyAlignment="1">
      <alignment horizontal="center" vertical="center"/>
    </xf>
    <xf numFmtId="2" fontId="31" fillId="0" borderId="1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0" xfId="0" applyFont="1" applyAlignment="1"/>
    <xf numFmtId="0" fontId="2" fillId="0" borderId="0" xfId="0" applyFont="1" applyBorder="1" applyAlignment="1">
      <alignment horizontal="center"/>
    </xf>
    <xf numFmtId="0" fontId="1" fillId="0" borderId="8" xfId="0" applyFont="1" applyFill="1" applyBorder="1" applyAlignment="1"/>
    <xf numFmtId="0" fontId="1" fillId="0" borderId="13" xfId="0" applyFont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182" fontId="29" fillId="0" borderId="15" xfId="0" applyNumberFormat="1" applyFont="1" applyBorder="1" applyAlignment="1">
      <alignment horizontal="center" vertical="center"/>
    </xf>
    <xf numFmtId="182" fontId="30" fillId="0" borderId="15" xfId="0" applyNumberFormat="1" applyFont="1" applyFill="1" applyBorder="1" applyAlignment="1">
      <alignment horizontal="center" vertical="center"/>
    </xf>
    <xf numFmtId="182" fontId="27" fillId="0" borderId="17" xfId="0" applyNumberFormat="1" applyFont="1" applyBorder="1" applyAlignment="1">
      <alignment horizontal="center" vertical="center"/>
    </xf>
    <xf numFmtId="182" fontId="28" fillId="0" borderId="17" xfId="0" applyNumberFormat="1" applyFont="1" applyFill="1" applyBorder="1" applyAlignment="1">
      <alignment horizontal="center" vertical="center"/>
    </xf>
    <xf numFmtId="182" fontId="27" fillId="0" borderId="19" xfId="0" applyNumberFormat="1" applyFont="1" applyBorder="1" applyAlignment="1">
      <alignment horizontal="center" vertical="center"/>
    </xf>
    <xf numFmtId="182" fontId="28" fillId="0" borderId="19" xfId="0" applyNumberFormat="1" applyFont="1" applyFill="1" applyBorder="1" applyAlignment="1">
      <alignment horizontal="center" vertical="center"/>
    </xf>
    <xf numFmtId="11" fontId="2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4" borderId="0" xfId="0" applyFont="1" applyFill="1"/>
    <xf numFmtId="0" fontId="1" fillId="0" borderId="0" xfId="0" applyFont="1" applyFill="1" applyAlignment="1"/>
    <xf numFmtId="0" fontId="12" fillId="0" borderId="0" xfId="0" applyFont="1" applyBorder="1" applyAlignment="1">
      <alignment horizont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11" xfId="0" applyFont="1" applyBorder="1"/>
    <xf numFmtId="0" fontId="4" fillId="0" borderId="0" xfId="0" applyFont="1" applyBorder="1"/>
    <xf numFmtId="0" fontId="5" fillId="0" borderId="0" xfId="0" applyFont="1" applyBorder="1" applyAlignment="1">
      <alignment horizontal="center"/>
    </xf>
    <xf numFmtId="0" fontId="14" fillId="0" borderId="0" xfId="0" applyFont="1" applyBorder="1"/>
    <xf numFmtId="0" fontId="15" fillId="0" borderId="0" xfId="0" applyFont="1" applyBorder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left"/>
    </xf>
    <xf numFmtId="0" fontId="2" fillId="4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1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/>
    <xf numFmtId="0" fontId="4" fillId="0" borderId="0" xfId="0" applyFont="1" applyBorder="1" applyAlignment="1">
      <alignment horizontal="center"/>
    </xf>
    <xf numFmtId="0" fontId="17" fillId="0" borderId="0" xfId="0" applyFont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19" fillId="0" borderId="0" xfId="0" applyFont="1"/>
    <xf numFmtId="0" fontId="4" fillId="0" borderId="13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/>
    <xf numFmtId="0" fontId="1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1" fillId="4" borderId="0" xfId="0" applyFont="1" applyFill="1"/>
    <xf numFmtId="0" fontId="2" fillId="0" borderId="0" xfId="0" applyFont="1" applyBorder="1"/>
    <xf numFmtId="0" fontId="2" fillId="4" borderId="0" xfId="0" applyFont="1" applyFill="1"/>
    <xf numFmtId="0" fontId="20" fillId="0" borderId="0" xfId="0" applyFont="1" applyBorder="1"/>
    <xf numFmtId="177" fontId="5" fillId="0" borderId="14" xfId="0" applyNumberFormat="1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top" wrapText="1"/>
    </xf>
    <xf numFmtId="2" fontId="5" fillId="0" borderId="14" xfId="0" applyNumberFormat="1" applyFont="1" applyFill="1" applyBorder="1" applyAlignment="1">
      <alignment horizontal="right" vertical="center" wrapText="1"/>
    </xf>
    <xf numFmtId="0" fontId="5" fillId="0" borderId="21" xfId="0" applyFont="1" applyFill="1" applyBorder="1" applyAlignment="1">
      <alignment vertical="top" wrapText="1"/>
    </xf>
    <xf numFmtId="177" fontId="5" fillId="0" borderId="25" xfId="0" applyNumberFormat="1" applyFont="1" applyFill="1" applyBorder="1" applyAlignment="1">
      <alignment vertical="center" wrapText="1"/>
    </xf>
    <xf numFmtId="179" fontId="5" fillId="0" borderId="14" xfId="0" applyNumberFormat="1" applyFont="1" applyFill="1" applyBorder="1" applyAlignment="1">
      <alignment horizontal="right" vertical="center" wrapText="1"/>
    </xf>
    <xf numFmtId="177" fontId="5" fillId="0" borderId="16" xfId="0" applyNumberFormat="1" applyFont="1" applyFill="1" applyBorder="1" applyAlignment="1">
      <alignment vertical="center" wrapText="1"/>
    </xf>
    <xf numFmtId="0" fontId="5" fillId="0" borderId="26" xfId="0" applyFont="1" applyFill="1" applyBorder="1" applyAlignment="1">
      <alignment vertical="top" wrapText="1"/>
    </xf>
    <xf numFmtId="2" fontId="5" fillId="0" borderId="16" xfId="0" applyNumberFormat="1" applyFont="1" applyFill="1" applyBorder="1" applyAlignment="1">
      <alignment horizontal="right" vertical="center" wrapText="1"/>
    </xf>
    <xf numFmtId="0" fontId="5" fillId="0" borderId="22" xfId="0" applyFont="1" applyFill="1" applyBorder="1" applyAlignment="1">
      <alignment vertical="top" wrapText="1"/>
    </xf>
    <xf numFmtId="177" fontId="5" fillId="0" borderId="26" xfId="0" applyNumberFormat="1" applyFont="1" applyFill="1" applyBorder="1" applyAlignment="1">
      <alignment vertical="center" wrapText="1"/>
    </xf>
    <xf numFmtId="179" fontId="5" fillId="0" borderId="16" xfId="0" applyNumberFormat="1" applyFont="1" applyFill="1" applyBorder="1" applyAlignment="1">
      <alignment horizontal="right" vertical="center" wrapText="1"/>
    </xf>
    <xf numFmtId="177" fontId="5" fillId="0" borderId="18" xfId="0" applyNumberFormat="1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top" wrapText="1"/>
    </xf>
    <xf numFmtId="2" fontId="5" fillId="0" borderId="18" xfId="0" applyNumberFormat="1" applyFont="1" applyFill="1" applyBorder="1" applyAlignment="1">
      <alignment horizontal="right" vertical="center" wrapText="1"/>
    </xf>
    <xf numFmtId="0" fontId="5" fillId="0" borderId="23" xfId="0" applyFont="1" applyFill="1" applyBorder="1" applyAlignment="1">
      <alignment vertical="top" wrapText="1"/>
    </xf>
    <xf numFmtId="177" fontId="5" fillId="0" borderId="27" xfId="0" applyNumberFormat="1" applyFont="1" applyFill="1" applyBorder="1" applyAlignment="1">
      <alignment vertical="center" wrapText="1"/>
    </xf>
    <xf numFmtId="179" fontId="5" fillId="0" borderId="18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181" fontId="2" fillId="0" borderId="0" xfId="0" applyNumberFormat="1" applyFont="1" applyFill="1" applyBorder="1" applyAlignment="1">
      <alignment horizontal="right" vertical="center" wrapText="1"/>
    </xf>
    <xf numFmtId="179" fontId="2" fillId="0" borderId="0" xfId="0" applyNumberFormat="1" applyFont="1" applyFill="1" applyBorder="1" applyAlignment="1">
      <alignment horizontal="right" vertical="center" wrapText="1"/>
    </xf>
    <xf numFmtId="181" fontId="2" fillId="0" borderId="0" xfId="0" applyNumberFormat="1" applyFont="1" applyFill="1" applyBorder="1" applyAlignment="1">
      <alignment vertical="center" wrapText="1"/>
    </xf>
    <xf numFmtId="177" fontId="2" fillId="0" borderId="0" xfId="0" applyNumberFormat="1" applyFont="1" applyFill="1" applyBorder="1" applyAlignment="1">
      <alignment vertical="center" wrapText="1"/>
    </xf>
    <xf numFmtId="0" fontId="5" fillId="0" borderId="0" xfId="0" applyFont="1" applyBorder="1" applyAlignment="1">
      <alignment horizontal="right"/>
    </xf>
    <xf numFmtId="0" fontId="2" fillId="0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3" xfId="0" applyNumberFormat="1" applyFont="1" applyFill="1" applyBorder="1" applyAlignment="1">
      <alignment vertical="center"/>
    </xf>
    <xf numFmtId="2" fontId="5" fillId="0" borderId="17" xfId="0" applyNumberFormat="1" applyFont="1" applyBorder="1" applyAlignment="1">
      <alignment horizontal="center"/>
    </xf>
    <xf numFmtId="2" fontId="5" fillId="0" borderId="19" xfId="0" applyNumberFormat="1" applyFont="1" applyBorder="1" applyAlignment="1">
      <alignment horizontal="center"/>
    </xf>
    <xf numFmtId="2" fontId="2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Border="1" applyAlignment="1">
      <alignment horizontal="center"/>
    </xf>
    <xf numFmtId="0" fontId="2" fillId="0" borderId="0" xfId="0" applyNumberFormat="1" applyFont="1" applyFill="1" applyAlignment="1">
      <alignment horizontal="center" vertical="center"/>
    </xf>
    <xf numFmtId="0" fontId="0" fillId="0" borderId="0" xfId="0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77" fontId="23" fillId="0" borderId="4" xfId="0" applyNumberFormat="1" applyFont="1" applyFill="1" applyBorder="1" applyAlignment="1">
      <alignment horizontal="center" vertical="center"/>
    </xf>
    <xf numFmtId="178" fontId="23" fillId="0" borderId="4" xfId="0" applyNumberFormat="1" applyFont="1" applyFill="1" applyBorder="1" applyAlignment="1">
      <alignment horizontal="center" vertical="center"/>
    </xf>
    <xf numFmtId="178" fontId="23" fillId="0" borderId="1" xfId="0" applyNumberFormat="1" applyFont="1" applyFill="1" applyBorder="1" applyAlignment="1">
      <alignment horizontal="center" vertical="center"/>
    </xf>
    <xf numFmtId="184" fontId="33" fillId="3" borderId="4" xfId="0" applyNumberFormat="1" applyFont="1" applyFill="1" applyBorder="1" applyAlignment="1">
      <alignment horizontal="center" vertical="center"/>
    </xf>
    <xf numFmtId="179" fontId="16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185" fontId="16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82" fontId="24" fillId="0" borderId="0" xfId="0" applyNumberFormat="1" applyFont="1" applyBorder="1" applyAlignment="1">
      <alignment horizontal="left"/>
    </xf>
    <xf numFmtId="183" fontId="0" fillId="0" borderId="0" xfId="0" applyNumberFormat="1" applyBorder="1" applyAlignment="1">
      <alignment horizontal="left"/>
    </xf>
    <xf numFmtId="184" fontId="2" fillId="0" borderId="0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2" fontId="23" fillId="3" borderId="4" xfId="0" applyNumberFormat="1" applyFont="1" applyFill="1" applyBorder="1" applyAlignment="1">
      <alignment horizontal="center" vertical="center"/>
    </xf>
    <xf numFmtId="180" fontId="23" fillId="0" borderId="4" xfId="0" applyNumberFormat="1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181" fontId="2" fillId="0" borderId="4" xfId="0" applyNumberFormat="1" applyFont="1" applyFill="1" applyBorder="1" applyAlignment="1">
      <alignment horizontal="center" vertical="center"/>
    </xf>
    <xf numFmtId="182" fontId="34" fillId="0" borderId="4" xfId="0" applyNumberFormat="1" applyFont="1" applyFill="1" applyBorder="1" applyAlignment="1">
      <alignment horizontal="center" vertical="center"/>
    </xf>
    <xf numFmtId="11" fontId="23" fillId="0" borderId="4" xfId="0" applyNumberFormat="1" applyFont="1" applyFill="1" applyBorder="1" applyAlignment="1">
      <alignment horizontal="center" vertical="center"/>
    </xf>
    <xf numFmtId="1" fontId="23" fillId="0" borderId="4" xfId="0" applyNumberFormat="1" applyFont="1" applyFill="1" applyBorder="1" applyAlignment="1">
      <alignment horizontal="center" vertical="center"/>
    </xf>
    <xf numFmtId="2" fontId="34" fillId="0" borderId="4" xfId="0" applyNumberFormat="1" applyFont="1" applyFill="1" applyBorder="1" applyAlignment="1">
      <alignment horizontal="center" vertical="center"/>
    </xf>
    <xf numFmtId="2" fontId="35" fillId="0" borderId="4" xfId="0" applyNumberFormat="1" applyFont="1" applyFill="1" applyBorder="1" applyAlignment="1">
      <alignment horizontal="center" vertical="center"/>
    </xf>
    <xf numFmtId="182" fontId="33" fillId="0" borderId="4" xfId="0" applyNumberFormat="1" applyFont="1" applyBorder="1" applyAlignment="1">
      <alignment vertical="center"/>
    </xf>
    <xf numFmtId="182" fontId="28" fillId="0" borderId="0" xfId="0" applyNumberFormat="1" applyFont="1" applyFill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11" fontId="2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9" fontId="16" fillId="0" borderId="0" xfId="0" applyNumberFormat="1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/>
    <xf numFmtId="0" fontId="11" fillId="0" borderId="0" xfId="0" applyFont="1" applyFill="1" applyBorder="1" applyAlignment="1"/>
    <xf numFmtId="182" fontId="11" fillId="0" borderId="0" xfId="0" applyNumberFormat="1" applyFont="1" applyFill="1" applyBorder="1" applyAlignment="1"/>
    <xf numFmtId="0" fontId="11" fillId="0" borderId="0" xfId="0" applyFont="1" applyFill="1" applyAlignment="1"/>
    <xf numFmtId="2" fontId="5" fillId="0" borderId="15" xfId="0" quotePrefix="1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14" fontId="5" fillId="4" borderId="4" xfId="0" quotePrefix="1" applyNumberFormat="1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14" fontId="5" fillId="4" borderId="1" xfId="0" quotePrefix="1" applyNumberFormat="1" applyFont="1" applyFill="1" applyBorder="1" applyAlignment="1">
      <alignment horizontal="left"/>
    </xf>
    <xf numFmtId="14" fontId="5" fillId="4" borderId="2" xfId="0" applyNumberFormat="1" applyFont="1" applyFill="1" applyBorder="1" applyAlignment="1">
      <alignment horizontal="left"/>
    </xf>
    <xf numFmtId="14" fontId="5" fillId="4" borderId="3" xfId="0" applyNumberFormat="1" applyFont="1" applyFill="1" applyBorder="1" applyAlignment="1">
      <alignment horizontal="left"/>
    </xf>
    <xf numFmtId="14" fontId="5" fillId="4" borderId="4" xfId="0" applyNumberFormat="1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0" borderId="0" xfId="0" applyFont="1" applyFill="1" applyBorder="1" applyAlignment="1">
      <alignment horizontal="left" vertical="top"/>
    </xf>
    <xf numFmtId="0" fontId="7" fillId="0" borderId="8" xfId="0" applyFont="1" applyFill="1" applyBorder="1" applyAlignment="1">
      <alignment horizontal="left" vertical="top"/>
    </xf>
    <xf numFmtId="0" fontId="7" fillId="0" borderId="24" xfId="0" applyFont="1" applyFill="1" applyBorder="1" applyAlignment="1">
      <alignment horizontal="left" vertical="top"/>
    </xf>
    <xf numFmtId="14" fontId="5" fillId="0" borderId="4" xfId="0" applyNumberFormat="1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5" fillId="0" borderId="4" xfId="0" applyFont="1" applyBorder="1" applyAlignment="1"/>
    <xf numFmtId="0" fontId="5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" fontId="5" fillId="4" borderId="1" xfId="0" applyNumberFormat="1" applyFont="1" applyFill="1" applyBorder="1" applyAlignment="1">
      <alignment horizontal="left"/>
    </xf>
    <xf numFmtId="1" fontId="5" fillId="4" borderId="2" xfId="0" applyNumberFormat="1" applyFont="1" applyFill="1" applyBorder="1" applyAlignment="1">
      <alignment horizontal="left"/>
    </xf>
    <xf numFmtId="0" fontId="5" fillId="4" borderId="1" xfId="0" quotePrefix="1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49" fontId="5" fillId="6" borderId="4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83" fontId="5" fillId="0" borderId="25" xfId="0" quotePrefix="1" applyNumberFormat="1" applyFont="1" applyFill="1" applyBorder="1" applyAlignment="1">
      <alignment horizontal="center" vertical="center"/>
    </xf>
    <xf numFmtId="183" fontId="5" fillId="0" borderId="25" xfId="0" applyNumberFormat="1" applyFont="1" applyFill="1" applyBorder="1" applyAlignment="1">
      <alignment horizontal="center" vertical="center"/>
    </xf>
    <xf numFmtId="2" fontId="5" fillId="0" borderId="14" xfId="0" quotePrefix="1" applyNumberFormat="1" applyFont="1" applyFill="1" applyBorder="1" applyAlignment="1">
      <alignment horizontal="center" vertical="center" wrapText="1"/>
    </xf>
    <xf numFmtId="2" fontId="5" fillId="0" borderId="21" xfId="0" applyNumberFormat="1" applyFont="1" applyFill="1" applyBorder="1" applyAlignment="1">
      <alignment horizontal="center" vertical="center" wrapText="1"/>
    </xf>
    <xf numFmtId="179" fontId="5" fillId="0" borderId="26" xfId="0" applyNumberFormat="1" applyFont="1" applyFill="1" applyBorder="1" applyAlignment="1">
      <alignment horizontal="center" vertical="center"/>
    </xf>
    <xf numFmtId="2" fontId="5" fillId="6" borderId="16" xfId="0" applyNumberFormat="1" applyFont="1" applyFill="1" applyBorder="1" applyAlignment="1">
      <alignment horizontal="center" vertical="center" wrapText="1"/>
    </xf>
    <xf numFmtId="2" fontId="5" fillId="6" borderId="22" xfId="0" applyNumberFormat="1" applyFont="1" applyFill="1" applyBorder="1" applyAlignment="1">
      <alignment horizontal="center" vertical="center" wrapText="1"/>
    </xf>
    <xf numFmtId="179" fontId="5" fillId="0" borderId="27" xfId="0" applyNumberFormat="1" applyFont="1" applyFill="1" applyBorder="1" applyAlignment="1">
      <alignment horizontal="center" vertical="center"/>
    </xf>
    <xf numFmtId="2" fontId="5" fillId="6" borderId="18" xfId="0" applyNumberFormat="1" applyFont="1" applyFill="1" applyBorder="1" applyAlignment="1">
      <alignment horizontal="center" vertical="center" wrapText="1"/>
    </xf>
    <xf numFmtId="2" fontId="5" fillId="6" borderId="23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5" borderId="4" xfId="0" quotePrefix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/>
    <xf numFmtId="0" fontId="4" fillId="0" borderId="1" xfId="0" applyFont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left" vertical="top"/>
    </xf>
    <xf numFmtId="0" fontId="7" fillId="0" borderId="10" xfId="0" applyFont="1" applyFill="1" applyBorder="1" applyAlignment="1">
      <alignment horizontal="left" vertical="top"/>
    </xf>
    <xf numFmtId="0" fontId="7" fillId="0" borderId="20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</xdr:colOff>
      <xdr:row>1</xdr:row>
      <xdr:rowOff>85725</xdr:rowOff>
    </xdr:from>
    <xdr:to>
      <xdr:col>14</xdr:col>
      <xdr:colOff>28575</xdr:colOff>
      <xdr:row>7</xdr:row>
      <xdr:rowOff>0</xdr:rowOff>
    </xdr:to>
    <xdr:pic>
      <xdr:nvPicPr>
        <xdr:cNvPr id="1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76225"/>
          <a:ext cx="109537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V119"/>
  <sheetViews>
    <sheetView view="pageBreakPreview" zoomScaleNormal="110" workbookViewId="0">
      <selection activeCell="A13" sqref="A13:IV19"/>
    </sheetView>
  </sheetViews>
  <sheetFormatPr defaultColWidth="9" defaultRowHeight="15" x14ac:dyDescent="0.25"/>
  <cols>
    <col min="1" max="1" width="11.7109375" style="1" customWidth="1"/>
    <col min="2" max="2" width="7.5703125" style="1" customWidth="1"/>
    <col min="3" max="3" width="3.5703125" style="1" customWidth="1"/>
    <col min="4" max="4" width="9.42578125" style="1" customWidth="1"/>
    <col min="5" max="5" width="4" style="1" customWidth="1"/>
    <col min="6" max="6" width="9.28515625" style="1" customWidth="1"/>
    <col min="7" max="7" width="4.28515625" style="1" customWidth="1"/>
    <col min="8" max="8" width="8.5703125" style="1" customWidth="1"/>
    <col min="9" max="9" width="4.28515625" style="1" customWidth="1"/>
    <col min="10" max="10" width="3.85546875" style="1" customWidth="1"/>
    <col min="11" max="11" width="9" style="1" customWidth="1"/>
    <col min="12" max="12" width="4.42578125" style="1" customWidth="1"/>
    <col min="13" max="13" width="9" style="1" customWidth="1"/>
    <col min="14" max="14" width="16.42578125" style="1" customWidth="1"/>
    <col min="15" max="15" width="9.7109375" style="2" customWidth="1"/>
    <col min="16" max="18" width="9.7109375" style="1" customWidth="1"/>
    <col min="19" max="19" width="9.7109375" style="57" customWidth="1"/>
    <col min="20" max="27" width="9.7109375" style="1" customWidth="1"/>
    <col min="28" max="28" width="9.7109375" style="37" customWidth="1"/>
    <col min="29" max="31" width="9.7109375" style="1" customWidth="1"/>
    <col min="32" max="32" width="9.7109375" style="37" customWidth="1"/>
    <col min="33" max="39" width="9.7109375" style="1" customWidth="1"/>
    <col min="40" max="40" width="9.7109375" style="58" customWidth="1"/>
    <col min="41" max="41" width="9.140625" style="1" bestFit="1" customWidth="1"/>
    <col min="42" max="42" width="12.28515625" style="1" bestFit="1" customWidth="1"/>
    <col min="43" max="43" width="11.140625" style="1" bestFit="1" customWidth="1"/>
    <col min="44" max="52" width="9.140625" style="1" bestFit="1" customWidth="1"/>
    <col min="53" max="53" width="9.5703125" style="1" bestFit="1" customWidth="1"/>
    <col min="54" max="55" width="9.140625" style="1" bestFit="1" customWidth="1"/>
    <col min="56" max="57" width="9.5703125" style="1" bestFit="1" customWidth="1"/>
    <col min="58" max="250" width="9.140625" style="1" bestFit="1" customWidth="1"/>
    <col min="251" max="251" width="9.140625" bestFit="1" customWidth="1"/>
  </cols>
  <sheetData>
    <row r="2" spans="1:83" ht="12.6" customHeigh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21"/>
      <c r="L2" s="120"/>
      <c r="M2" s="120"/>
      <c r="N2" s="120"/>
      <c r="O2" s="122"/>
      <c r="P2" s="123"/>
      <c r="Q2" s="123"/>
      <c r="R2" s="104"/>
      <c r="S2" s="104"/>
      <c r="T2" s="104"/>
      <c r="U2" s="104"/>
      <c r="V2" s="18"/>
      <c r="W2" s="18"/>
      <c r="X2" s="18"/>
      <c r="Y2" s="18"/>
      <c r="Z2" s="18"/>
      <c r="AA2" s="18"/>
      <c r="AB2" s="131"/>
      <c r="AC2" s="18"/>
      <c r="AD2" s="18"/>
      <c r="AE2" s="18"/>
      <c r="AF2" s="131"/>
      <c r="AG2" s="18"/>
      <c r="AH2" s="18"/>
      <c r="AI2" s="18"/>
      <c r="AJ2" s="18"/>
      <c r="AK2" s="18"/>
      <c r="AL2" s="18"/>
      <c r="AM2" s="18"/>
      <c r="AN2" s="144"/>
    </row>
    <row r="3" spans="1:83" s="97" customFormat="1" ht="21.95" customHeight="1" x14ac:dyDescent="0.25">
      <c r="A3" s="228" t="s">
        <v>0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124"/>
      <c r="P3" s="125"/>
      <c r="Q3" s="125"/>
      <c r="R3" s="125"/>
      <c r="S3" s="138"/>
      <c r="T3" s="139"/>
      <c r="U3" s="138"/>
      <c r="V3" s="138"/>
      <c r="W3" s="138"/>
      <c r="X3" s="140"/>
      <c r="Y3" s="138"/>
      <c r="Z3" s="138"/>
      <c r="AA3" s="140"/>
      <c r="AB3" s="138"/>
      <c r="AC3" s="138"/>
      <c r="AD3" s="138"/>
      <c r="AE3" s="140"/>
      <c r="AF3" s="138"/>
      <c r="AG3" s="138"/>
      <c r="AH3" s="140"/>
      <c r="AI3" s="138"/>
      <c r="AJ3" s="138"/>
      <c r="AK3" s="138"/>
      <c r="AL3" s="138"/>
      <c r="AM3" s="113"/>
      <c r="AN3" s="138"/>
      <c r="AO3" s="138"/>
      <c r="AP3" s="113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</row>
    <row r="4" spans="1:83" s="98" customFormat="1" ht="14.25" customHeight="1" x14ac:dyDescent="0.2">
      <c r="A4" s="229" t="s">
        <v>1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126"/>
      <c r="P4" s="127"/>
      <c r="Q4" s="127"/>
      <c r="R4" s="127"/>
      <c r="S4" s="141"/>
      <c r="T4" s="142"/>
      <c r="U4" s="141"/>
      <c r="V4" s="141"/>
      <c r="W4" s="141"/>
      <c r="X4" s="127"/>
      <c r="Y4" s="141"/>
      <c r="Z4" s="141"/>
      <c r="AA4" s="127"/>
      <c r="AB4" s="141"/>
      <c r="AC4" s="141"/>
      <c r="AD4" s="141"/>
      <c r="AE4" s="127"/>
      <c r="AF4" s="141"/>
      <c r="AG4" s="141"/>
      <c r="AH4" s="127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1"/>
      <c r="BO4" s="141"/>
      <c r="BP4" s="141"/>
      <c r="BQ4" s="141"/>
      <c r="BR4" s="141"/>
      <c r="BS4" s="141"/>
      <c r="BT4" s="141"/>
      <c r="BU4" s="141"/>
      <c r="BV4" s="141"/>
      <c r="BW4" s="141"/>
      <c r="BX4" s="141"/>
      <c r="BY4" s="141"/>
      <c r="BZ4" s="141"/>
      <c r="CA4" s="141"/>
      <c r="CB4" s="141"/>
      <c r="CC4" s="141"/>
      <c r="CD4" s="141"/>
      <c r="CE4" s="141"/>
    </row>
    <row r="5" spans="1:83" s="98" customFormat="1" ht="14.25" customHeight="1" x14ac:dyDescent="0.2">
      <c r="A5" s="231" t="s">
        <v>2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128"/>
      <c r="P5" s="127"/>
      <c r="Q5" s="127"/>
      <c r="R5" s="127"/>
      <c r="S5" s="141"/>
      <c r="T5" s="142"/>
      <c r="U5" s="141"/>
      <c r="V5" s="141"/>
      <c r="W5" s="141"/>
      <c r="X5" s="127"/>
      <c r="Y5" s="141"/>
      <c r="Z5" s="141"/>
      <c r="AA5" s="127"/>
      <c r="AB5" s="141"/>
      <c r="AC5" s="141"/>
      <c r="AD5" s="141"/>
      <c r="AE5" s="127"/>
      <c r="AF5" s="141"/>
      <c r="AG5" s="141"/>
      <c r="AH5" s="127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1"/>
      <c r="BF5" s="141"/>
      <c r="BG5" s="141"/>
      <c r="BH5" s="141"/>
      <c r="BI5" s="141"/>
      <c r="BJ5" s="141"/>
      <c r="BK5" s="141"/>
      <c r="BL5" s="141"/>
      <c r="BM5" s="141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</row>
    <row r="6" spans="1:83" s="98" customFormat="1" ht="14.25" customHeight="1" x14ac:dyDescent="0.2">
      <c r="A6" s="231" t="s">
        <v>3</v>
      </c>
      <c r="B6" s="231"/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128"/>
      <c r="P6" s="127"/>
      <c r="Q6" s="127"/>
      <c r="R6" s="127"/>
      <c r="S6" s="141"/>
      <c r="T6" s="142"/>
      <c r="U6" s="141"/>
      <c r="V6" s="141"/>
      <c r="W6" s="141"/>
      <c r="X6" s="127"/>
      <c r="Y6" s="141"/>
      <c r="Z6" s="141"/>
      <c r="AA6" s="127"/>
      <c r="AB6" s="141"/>
      <c r="AC6" s="141"/>
      <c r="AD6" s="141"/>
      <c r="AE6" s="127"/>
      <c r="AF6" s="141"/>
      <c r="AG6" s="141"/>
      <c r="AH6" s="127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1"/>
      <c r="CD6" s="141"/>
      <c r="CE6" s="141"/>
    </row>
    <row r="7" spans="1:83" s="98" customFormat="1" ht="14.25" customHeight="1" x14ac:dyDescent="0.2">
      <c r="A7" s="232" t="s">
        <v>4</v>
      </c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128"/>
      <c r="P7" s="127"/>
      <c r="Q7" s="127"/>
      <c r="R7" s="127"/>
      <c r="S7" s="141"/>
      <c r="T7" s="142"/>
      <c r="U7" s="141"/>
      <c r="V7" s="141"/>
      <c r="W7" s="141"/>
      <c r="X7" s="127"/>
      <c r="Y7" s="141"/>
      <c r="Z7" s="141"/>
      <c r="AA7" s="127"/>
      <c r="AB7" s="141"/>
      <c r="AC7" s="141"/>
      <c r="AD7" s="141"/>
      <c r="AE7" s="127"/>
      <c r="AF7" s="141"/>
      <c r="AG7" s="141"/>
      <c r="AH7" s="127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</row>
    <row r="8" spans="1:83" s="98" customFormat="1" ht="14.25" customHeight="1" x14ac:dyDescent="0.2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 t="s">
        <v>5</v>
      </c>
      <c r="O8" s="128"/>
      <c r="P8" s="127"/>
      <c r="Q8" s="127"/>
      <c r="R8" s="127"/>
      <c r="S8" s="141"/>
      <c r="T8" s="142"/>
      <c r="U8" s="141"/>
      <c r="V8" s="141"/>
      <c r="W8" s="141"/>
      <c r="X8" s="127"/>
      <c r="Y8" s="141"/>
      <c r="Z8" s="141"/>
      <c r="AA8" s="127"/>
      <c r="AB8" s="141"/>
      <c r="AC8" s="141"/>
      <c r="AD8" s="141"/>
      <c r="AE8" s="127"/>
      <c r="AF8" s="141"/>
      <c r="AG8" s="141"/>
      <c r="AH8" s="127"/>
      <c r="AI8" s="141"/>
      <c r="AJ8" s="141"/>
      <c r="AK8" s="141"/>
      <c r="AL8" s="141"/>
      <c r="AM8" s="141"/>
      <c r="AN8" s="141"/>
    </row>
    <row r="9" spans="1:83" ht="15.9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233" t="s">
        <v>6</v>
      </c>
      <c r="N9" s="233"/>
      <c r="O9" s="122"/>
      <c r="P9" s="123"/>
      <c r="Q9" s="123"/>
      <c r="R9" s="18"/>
      <c r="S9" s="18"/>
      <c r="T9" s="18"/>
      <c r="U9" s="18"/>
      <c r="V9" s="18"/>
      <c r="W9" s="18"/>
      <c r="X9" s="18"/>
      <c r="Y9" s="18"/>
      <c r="Z9" s="18"/>
      <c r="AA9" s="18"/>
      <c r="AB9" s="131"/>
      <c r="AC9" s="18"/>
      <c r="AD9" s="18"/>
      <c r="AE9" s="18"/>
      <c r="AF9" s="131"/>
      <c r="AG9" s="18"/>
      <c r="AH9" s="18"/>
      <c r="AI9" s="18"/>
      <c r="AJ9" s="18"/>
      <c r="AK9" s="18"/>
      <c r="AL9" s="18"/>
      <c r="AM9" s="18"/>
      <c r="AN9" s="144"/>
    </row>
    <row r="10" spans="1:83" ht="9.9499999999999993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83" ht="23.25" customHeight="1" x14ac:dyDescent="0.25">
      <c r="A11" s="18"/>
      <c r="B11" s="18"/>
      <c r="C11" s="18"/>
      <c r="D11" s="18"/>
      <c r="E11" s="234" t="s">
        <v>7</v>
      </c>
      <c r="F11" s="235"/>
      <c r="G11" s="235"/>
      <c r="H11" s="235"/>
      <c r="I11" s="235"/>
      <c r="J11" s="235"/>
      <c r="K11" s="235"/>
      <c r="L11" s="236"/>
      <c r="M11" s="18"/>
      <c r="N11" s="129" t="s">
        <v>8</v>
      </c>
      <c r="O11" s="130"/>
      <c r="AN11" s="96"/>
    </row>
    <row r="12" spans="1:83" ht="12.6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31"/>
      <c r="N12" s="132" t="s">
        <v>9</v>
      </c>
      <c r="O12" s="130"/>
      <c r="AN12" s="96"/>
    </row>
    <row r="13" spans="1:83" ht="12.6" customHeight="1" x14ac:dyDescent="0.25">
      <c r="A13" s="237" t="s">
        <v>10</v>
      </c>
      <c r="B13" s="238"/>
      <c r="C13" s="239"/>
      <c r="D13" s="240" t="s">
        <v>11</v>
      </c>
      <c r="E13" s="241"/>
      <c r="F13" s="241"/>
      <c r="G13" s="242"/>
      <c r="H13" s="240" t="s">
        <v>12</v>
      </c>
      <c r="I13" s="241"/>
      <c r="J13" s="241"/>
      <c r="K13" s="241"/>
      <c r="L13" s="242"/>
      <c r="M13" s="243" t="s">
        <v>13</v>
      </c>
      <c r="N13" s="244"/>
      <c r="O13" s="130"/>
      <c r="AN13" s="96"/>
    </row>
    <row r="14" spans="1:83" ht="12.6" customHeight="1" x14ac:dyDescent="0.25">
      <c r="A14" s="237" t="s">
        <v>14</v>
      </c>
      <c r="B14" s="238"/>
      <c r="C14" s="239"/>
      <c r="D14" s="245" t="s">
        <v>15</v>
      </c>
      <c r="E14" s="246"/>
      <c r="F14" s="246"/>
      <c r="G14" s="247"/>
      <c r="H14" s="237" t="s">
        <v>16</v>
      </c>
      <c r="I14" s="238"/>
      <c r="J14" s="238"/>
      <c r="K14" s="238"/>
      <c r="L14" s="239"/>
      <c r="M14" s="243" t="s">
        <v>17</v>
      </c>
      <c r="N14" s="248"/>
      <c r="O14" s="130"/>
      <c r="AN14" s="96"/>
    </row>
    <row r="15" spans="1:83" ht="12.6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83" ht="12.6" customHeight="1" x14ac:dyDescent="0.25">
      <c r="A16" s="249" t="s">
        <v>18</v>
      </c>
      <c r="B16" s="249"/>
      <c r="C16" s="249"/>
      <c r="D16" s="249"/>
      <c r="E16" s="249"/>
      <c r="F16" s="244">
        <v>16174766</v>
      </c>
      <c r="G16" s="244"/>
      <c r="H16" s="244"/>
      <c r="I16" s="244"/>
      <c r="J16" s="244"/>
      <c r="K16" s="244"/>
      <c r="L16" s="244"/>
      <c r="M16" s="244"/>
      <c r="N16" s="244"/>
    </row>
    <row r="17" spans="1:37" ht="12.6" customHeight="1" x14ac:dyDescent="0.25">
      <c r="A17" s="257" t="s">
        <v>19</v>
      </c>
      <c r="B17" s="257"/>
      <c r="C17" s="257"/>
      <c r="D17" s="257"/>
      <c r="E17" s="257"/>
      <c r="F17" s="9" t="s">
        <v>20</v>
      </c>
      <c r="G17" s="9"/>
      <c r="H17" s="9"/>
      <c r="I17" s="9"/>
      <c r="J17" s="9"/>
      <c r="K17" s="9"/>
      <c r="L17" s="9"/>
      <c r="M17" s="9"/>
      <c r="N17" s="35"/>
      <c r="AK17" s="58"/>
    </row>
    <row r="18" spans="1:37" ht="12.6" customHeight="1" x14ac:dyDescent="0.25">
      <c r="A18" s="257"/>
      <c r="B18" s="257"/>
      <c r="C18" s="257"/>
      <c r="D18" s="257"/>
      <c r="E18" s="257"/>
      <c r="F18" s="10" t="s">
        <v>21</v>
      </c>
      <c r="G18" s="11"/>
      <c r="H18" s="11"/>
      <c r="I18" s="11"/>
      <c r="J18" s="11"/>
      <c r="K18" s="11"/>
      <c r="L18" s="11"/>
      <c r="M18" s="11"/>
      <c r="N18" s="36"/>
      <c r="AK18" s="58"/>
    </row>
    <row r="19" spans="1:37" ht="12.6" customHeight="1" x14ac:dyDescent="0.25">
      <c r="A19" s="257"/>
      <c r="B19" s="257"/>
      <c r="C19" s="257"/>
      <c r="D19" s="257"/>
      <c r="E19" s="257"/>
      <c r="F19" s="250"/>
      <c r="G19" s="251"/>
      <c r="H19" s="251"/>
      <c r="I19" s="251"/>
      <c r="J19" s="251"/>
      <c r="K19" s="251"/>
      <c r="L19" s="251"/>
      <c r="M19" s="251"/>
      <c r="N19" s="252"/>
      <c r="AK19" s="58"/>
    </row>
    <row r="20" spans="1:37" ht="12.6" customHeight="1" x14ac:dyDescent="0.25">
      <c r="A20" s="249" t="s">
        <v>22</v>
      </c>
      <c r="B20" s="249"/>
      <c r="C20" s="249"/>
      <c r="D20" s="249"/>
      <c r="E20" s="249"/>
      <c r="F20" s="253" t="str">
        <f>D14</f>
        <v>16/02/2017</v>
      </c>
      <c r="G20" s="254"/>
      <c r="H20" s="254"/>
      <c r="I20" s="254"/>
      <c r="J20" s="254"/>
      <c r="K20" s="254"/>
      <c r="L20" s="254"/>
      <c r="M20" s="254"/>
      <c r="N20" s="254"/>
    </row>
    <row r="21" spans="1:37" ht="12.6" customHeight="1" x14ac:dyDescent="0.25">
      <c r="A21" s="249" t="s">
        <v>23</v>
      </c>
      <c r="B21" s="249"/>
      <c r="C21" s="249"/>
      <c r="D21" s="249"/>
      <c r="E21" s="249"/>
      <c r="F21" s="255" t="s">
        <v>24</v>
      </c>
      <c r="G21" s="255"/>
      <c r="H21" s="255"/>
      <c r="I21" s="249" t="s">
        <v>25</v>
      </c>
      <c r="J21" s="249"/>
      <c r="K21" s="249"/>
      <c r="L21" s="249"/>
      <c r="M21" s="256" t="s">
        <v>26</v>
      </c>
      <c r="N21" s="256"/>
    </row>
    <row r="22" spans="1:37" ht="12.6" customHeight="1" x14ac:dyDescent="0.25">
      <c r="A22" s="104" t="s">
        <v>27</v>
      </c>
      <c r="B22" s="104"/>
      <c r="C22" s="104"/>
      <c r="D22" s="104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37" ht="12.95" customHeight="1" x14ac:dyDescent="0.25">
      <c r="A23" s="257" t="s">
        <v>28</v>
      </c>
      <c r="B23" s="257"/>
      <c r="C23" s="257"/>
      <c r="D23" s="258" t="s">
        <v>29</v>
      </c>
      <c r="E23" s="259"/>
      <c r="F23" s="259"/>
      <c r="G23" s="259"/>
      <c r="H23" s="260" t="s">
        <v>30</v>
      </c>
      <c r="I23" s="261"/>
      <c r="J23" s="261"/>
      <c r="K23" s="262"/>
      <c r="L23" s="263" t="s">
        <v>31</v>
      </c>
      <c r="M23" s="263"/>
      <c r="N23" s="263"/>
    </row>
    <row r="24" spans="1:37" ht="12.6" customHeight="1" x14ac:dyDescent="0.25">
      <c r="A24" s="249" t="s">
        <v>32</v>
      </c>
      <c r="B24" s="249"/>
      <c r="C24" s="249"/>
      <c r="D24" s="264" t="s">
        <v>33</v>
      </c>
      <c r="E24" s="265"/>
      <c r="F24" s="265"/>
      <c r="G24" s="265"/>
      <c r="H24" s="266" t="s">
        <v>34</v>
      </c>
      <c r="I24" s="267"/>
      <c r="J24" s="267"/>
      <c r="K24" s="268"/>
      <c r="L24" s="256" t="s">
        <v>35</v>
      </c>
      <c r="M24" s="256"/>
      <c r="N24" s="256"/>
    </row>
    <row r="25" spans="1:37" ht="12.6" customHeight="1" x14ac:dyDescent="0.25">
      <c r="A25" s="249" t="s">
        <v>36</v>
      </c>
      <c r="B25" s="249"/>
      <c r="C25" s="249"/>
      <c r="D25" s="269" t="s">
        <v>37</v>
      </c>
      <c r="E25" s="270"/>
      <c r="F25" s="270"/>
      <c r="G25" s="270"/>
      <c r="H25" s="266" t="s">
        <v>38</v>
      </c>
      <c r="I25" s="267"/>
      <c r="J25" s="267"/>
      <c r="K25" s="268"/>
      <c r="L25" s="256" t="s">
        <v>39</v>
      </c>
      <c r="M25" s="256"/>
      <c r="N25" s="256"/>
    </row>
    <row r="26" spans="1:37" ht="12.6" customHeight="1" x14ac:dyDescent="0.25">
      <c r="A26" s="249" t="s">
        <v>40</v>
      </c>
      <c r="B26" s="249"/>
      <c r="C26" s="249"/>
      <c r="D26" s="271" t="s">
        <v>41</v>
      </c>
      <c r="E26" s="272"/>
      <c r="F26" s="272"/>
      <c r="G26" s="272"/>
      <c r="H26" s="266" t="s">
        <v>42</v>
      </c>
      <c r="I26" s="267"/>
      <c r="J26" s="267"/>
      <c r="K26" s="268"/>
      <c r="L26" s="256" t="s">
        <v>43</v>
      </c>
      <c r="M26" s="256"/>
      <c r="N26" s="256"/>
    </row>
    <row r="27" spans="1:37" ht="12.6" customHeight="1" x14ac:dyDescent="0.25">
      <c r="A27" s="104" t="s">
        <v>44</v>
      </c>
      <c r="B27" s="104"/>
      <c r="C27" s="104"/>
      <c r="D27" s="104"/>
      <c r="E27" s="8"/>
      <c r="F27" s="8"/>
      <c r="G27" s="8"/>
      <c r="H27" s="8"/>
      <c r="I27" s="8"/>
      <c r="J27" s="8"/>
      <c r="K27" s="8"/>
      <c r="L27" s="8"/>
      <c r="M27" s="8"/>
      <c r="N27" s="8"/>
      <c r="P27" s="133"/>
      <c r="Q27" s="133"/>
    </row>
    <row r="28" spans="1:37" ht="12.6" customHeight="1" x14ac:dyDescent="0.25">
      <c r="A28" s="249" t="s">
        <v>45</v>
      </c>
      <c r="B28" s="249"/>
      <c r="C28" s="249"/>
      <c r="D28" s="249"/>
      <c r="E28" s="256" t="s">
        <v>46</v>
      </c>
      <c r="F28" s="256"/>
      <c r="G28" s="256"/>
      <c r="H28" s="256"/>
      <c r="I28" s="249" t="s">
        <v>47</v>
      </c>
      <c r="J28" s="249"/>
      <c r="K28" s="249"/>
      <c r="L28" s="249"/>
      <c r="M28" s="256" t="s">
        <v>48</v>
      </c>
      <c r="N28" s="256"/>
    </row>
    <row r="29" spans="1:37" ht="12.6" customHeight="1" x14ac:dyDescent="0.25">
      <c r="A29" s="105"/>
      <c r="B29" s="105"/>
      <c r="C29" s="105"/>
      <c r="D29" s="105"/>
      <c r="E29" s="105"/>
      <c r="F29" s="105"/>
      <c r="G29" s="105"/>
      <c r="H29" s="105"/>
      <c r="I29" s="8"/>
      <c r="J29" s="8"/>
      <c r="K29" s="8"/>
      <c r="L29" s="8"/>
      <c r="M29" s="8"/>
      <c r="N29" s="8"/>
    </row>
    <row r="30" spans="1:37" ht="12.6" customHeight="1" x14ac:dyDescent="0.25">
      <c r="A30" s="104" t="s">
        <v>49</v>
      </c>
      <c r="B30" s="104"/>
      <c r="C30" s="104"/>
      <c r="D30" s="104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37" ht="28.5" customHeight="1" x14ac:dyDescent="0.25">
      <c r="A31" s="273" t="s">
        <v>28</v>
      </c>
      <c r="B31" s="273"/>
      <c r="C31" s="273"/>
      <c r="D31" s="273" t="s">
        <v>32</v>
      </c>
      <c r="E31" s="273"/>
      <c r="F31" s="273"/>
      <c r="G31" s="273" t="s">
        <v>36</v>
      </c>
      <c r="H31" s="273"/>
      <c r="I31" s="273"/>
      <c r="J31" s="274" t="s">
        <v>50</v>
      </c>
      <c r="K31" s="274"/>
      <c r="L31" s="274"/>
      <c r="M31" s="274"/>
      <c r="N31" s="134" t="s">
        <v>51</v>
      </c>
    </row>
    <row r="32" spans="1:37" ht="12.6" customHeight="1" x14ac:dyDescent="0.25">
      <c r="A32" s="304" t="s">
        <v>52</v>
      </c>
      <c r="B32" s="304"/>
      <c r="C32" s="304"/>
      <c r="D32" s="304" t="s">
        <v>53</v>
      </c>
      <c r="E32" s="304"/>
      <c r="F32" s="304"/>
      <c r="G32" s="305" t="s">
        <v>54</v>
      </c>
      <c r="H32" s="305"/>
      <c r="I32" s="305"/>
      <c r="J32" s="275" t="s">
        <v>55</v>
      </c>
      <c r="K32" s="275"/>
      <c r="L32" s="275"/>
      <c r="M32" s="275"/>
      <c r="N32" s="301" t="s">
        <v>56</v>
      </c>
      <c r="O32" s="135"/>
      <c r="V32" s="37"/>
      <c r="AK32" s="58"/>
    </row>
    <row r="33" spans="1:40" ht="12.6" customHeight="1" x14ac:dyDescent="0.25">
      <c r="A33" s="304"/>
      <c r="B33" s="304"/>
      <c r="C33" s="304"/>
      <c r="D33" s="304"/>
      <c r="E33" s="304"/>
      <c r="F33" s="304"/>
      <c r="G33" s="305"/>
      <c r="H33" s="305"/>
      <c r="I33" s="305"/>
      <c r="J33" s="276" t="s">
        <v>57</v>
      </c>
      <c r="K33" s="276"/>
      <c r="L33" s="276"/>
      <c r="M33" s="276"/>
      <c r="N33" s="275"/>
      <c r="O33" s="135"/>
      <c r="V33" s="37"/>
      <c r="AK33" s="58"/>
    </row>
    <row r="34" spans="1:40" ht="12.6" customHeight="1" x14ac:dyDescent="0.25">
      <c r="A34" s="104"/>
      <c r="B34" s="104"/>
      <c r="C34" s="104"/>
      <c r="D34" s="104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40" ht="12.6" customHeight="1" x14ac:dyDescent="0.25">
      <c r="A35" s="104" t="s">
        <v>58</v>
      </c>
      <c r="B35" s="104"/>
      <c r="C35" s="104"/>
      <c r="D35" s="104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40" ht="10.5" customHeight="1" x14ac:dyDescent="0.25">
      <c r="A36" s="104"/>
      <c r="B36" s="104"/>
      <c r="C36" s="104"/>
      <c r="D36" s="104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40" ht="11.1" customHeight="1" x14ac:dyDescent="0.25">
      <c r="A37" s="104" t="s">
        <v>59</v>
      </c>
      <c r="B37" s="106"/>
      <c r="C37" s="106"/>
      <c r="D37" s="106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1:40" ht="27" customHeight="1" x14ac:dyDescent="0.25">
      <c r="A38" s="277" t="s">
        <v>60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</row>
    <row r="39" spans="1:40" ht="15" customHeight="1" x14ac:dyDescent="0.25">
      <c r="A39" s="109" t="s">
        <v>61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40" s="99" customFormat="1" ht="15" customHeight="1" x14ac:dyDescent="0.2">
      <c r="A40" s="109" t="s">
        <v>62</v>
      </c>
      <c r="B40" s="109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36"/>
      <c r="S40" s="143"/>
      <c r="AK40" s="145"/>
      <c r="AN40" s="145"/>
    </row>
    <row r="41" spans="1:40" s="99" customFormat="1" ht="15" customHeight="1" x14ac:dyDescent="0.2">
      <c r="A41" s="109" t="s">
        <v>63</v>
      </c>
      <c r="B41" s="109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36"/>
      <c r="S41" s="143"/>
      <c r="AK41" s="145"/>
      <c r="AN41" s="145"/>
    </row>
    <row r="42" spans="1:40" s="99" customFormat="1" ht="15" customHeight="1" x14ac:dyDescent="0.2">
      <c r="A42" s="110" t="s">
        <v>64</v>
      </c>
      <c r="B42" s="111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36"/>
      <c r="S42" s="143"/>
      <c r="AK42" s="145"/>
      <c r="AN42" s="145"/>
    </row>
    <row r="43" spans="1:40" ht="15" customHeight="1" x14ac:dyDescent="0.25">
      <c r="A43" s="112" t="s">
        <v>65</v>
      </c>
      <c r="B43" s="112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</row>
    <row r="44" spans="1:40" ht="15" customHeight="1" x14ac:dyDescent="0.25">
      <c r="A44" s="112" t="s">
        <v>66</v>
      </c>
      <c r="B44" s="112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</row>
    <row r="45" spans="1:40" ht="15" customHeight="1" x14ac:dyDescent="0.25">
      <c r="A45" s="112" t="s">
        <v>67</v>
      </c>
      <c r="B45" s="112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</row>
    <row r="46" spans="1:40" ht="15" customHeight="1" x14ac:dyDescent="0.25">
      <c r="A46" s="112" t="s">
        <v>68</v>
      </c>
      <c r="B46" s="112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</row>
    <row r="47" spans="1:40" ht="12.6" customHeight="1" x14ac:dyDescent="0.25">
      <c r="A47" s="115"/>
      <c r="B47" s="115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</row>
    <row r="48" spans="1:40" ht="12.6" customHeight="1" x14ac:dyDescent="0.25">
      <c r="A48" s="115"/>
      <c r="B48" s="115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</row>
    <row r="49" spans="1:83" ht="12.6" customHeight="1" x14ac:dyDescent="0.25">
      <c r="A49" s="115"/>
      <c r="B49" s="115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</row>
    <row r="50" spans="1:83" ht="12.6" customHeight="1" x14ac:dyDescent="0.25">
      <c r="A50" s="115"/>
      <c r="B50" s="115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</row>
    <row r="51" spans="1:83" ht="12.6" customHeight="1" x14ac:dyDescent="0.25">
      <c r="A51" s="115"/>
      <c r="B51" s="115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</row>
    <row r="52" spans="1:83" ht="12.6" customHeight="1" x14ac:dyDescent="0.25">
      <c r="A52" s="115"/>
      <c r="B52" s="115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</row>
    <row r="53" spans="1:83" ht="12.6" customHeight="1" x14ac:dyDescent="0.25">
      <c r="A53" s="115"/>
      <c r="B53" s="115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</row>
    <row r="54" spans="1:83" ht="12.6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</row>
    <row r="55" spans="1:83" ht="12.6" customHeight="1" x14ac:dyDescent="0.25">
      <c r="A55" s="103"/>
      <c r="B55" s="103"/>
      <c r="C55" s="103"/>
      <c r="D55" s="18"/>
      <c r="E55" s="18"/>
      <c r="F55" s="18"/>
      <c r="G55" s="18"/>
      <c r="H55" s="18"/>
      <c r="I55" s="18"/>
      <c r="J55" s="18"/>
      <c r="K55" s="18"/>
      <c r="L55" s="103"/>
      <c r="M55" s="103"/>
      <c r="N55" s="103"/>
    </row>
    <row r="56" spans="1:83" ht="12.6" customHeight="1" x14ac:dyDescent="0.25">
      <c r="A56" s="278" t="s">
        <v>69</v>
      </c>
      <c r="B56" s="278"/>
      <c r="C56" s="278"/>
      <c r="D56" s="101"/>
      <c r="E56" s="119"/>
      <c r="F56" s="119"/>
      <c r="G56" s="101"/>
      <c r="H56" s="101"/>
      <c r="I56" s="101"/>
      <c r="J56" s="101"/>
      <c r="K56" s="121"/>
      <c r="L56" s="278" t="s">
        <v>70</v>
      </c>
      <c r="M56" s="278"/>
      <c r="N56" s="278"/>
    </row>
    <row r="57" spans="1:83" ht="12.6" customHeight="1" x14ac:dyDescent="0.25">
      <c r="A57" s="279" t="s">
        <v>71</v>
      </c>
      <c r="B57" s="279"/>
      <c r="C57" s="279"/>
      <c r="D57" s="8"/>
      <c r="E57" s="8"/>
      <c r="F57" s="8"/>
      <c r="G57" s="8"/>
      <c r="H57" s="8"/>
      <c r="I57" s="8"/>
      <c r="J57" s="8"/>
      <c r="K57" s="8"/>
      <c r="L57" s="279" t="s">
        <v>72</v>
      </c>
      <c r="M57" s="279"/>
      <c r="N57" s="279"/>
      <c r="P57" s="137"/>
      <c r="Q57" s="137"/>
      <c r="R57" s="137"/>
      <c r="S57" s="137"/>
      <c r="T57" s="137"/>
      <c r="U57" s="137"/>
      <c r="V57" s="137"/>
    </row>
    <row r="58" spans="1:83" ht="12.6" customHeight="1" x14ac:dyDescent="0.25">
      <c r="A58" s="278" t="s">
        <v>73</v>
      </c>
      <c r="B58" s="278"/>
      <c r="C58" s="278"/>
      <c r="D58" s="101"/>
      <c r="E58" s="119"/>
      <c r="F58" s="119"/>
      <c r="G58" s="101"/>
      <c r="H58" s="101"/>
      <c r="I58" s="101"/>
      <c r="J58" s="101"/>
      <c r="K58" s="121"/>
      <c r="L58" s="278" t="s">
        <v>74</v>
      </c>
      <c r="M58" s="278"/>
      <c r="N58" s="278"/>
      <c r="P58" s="137"/>
      <c r="Q58" s="137"/>
      <c r="R58" s="137"/>
      <c r="S58" s="137"/>
      <c r="T58" s="137"/>
      <c r="U58" s="137"/>
      <c r="V58" s="137"/>
    </row>
    <row r="59" spans="1:83" ht="12.6" customHeight="1" x14ac:dyDescent="0.25">
      <c r="A59" s="118"/>
      <c r="B59" s="118"/>
      <c r="C59" s="118"/>
      <c r="D59" s="101"/>
      <c r="E59" s="119"/>
      <c r="F59" s="119"/>
      <c r="G59" s="101"/>
      <c r="H59" s="101"/>
      <c r="I59" s="101"/>
      <c r="J59" s="101"/>
      <c r="K59" s="121"/>
      <c r="L59" s="118"/>
      <c r="M59" s="118"/>
      <c r="N59" s="118"/>
      <c r="P59" s="137"/>
      <c r="Q59" s="137"/>
      <c r="R59" s="137"/>
      <c r="S59" s="137"/>
      <c r="T59" s="137"/>
      <c r="U59" s="137"/>
      <c r="V59" s="137"/>
    </row>
    <row r="60" spans="1:83" ht="12.6" customHeight="1" x14ac:dyDescent="0.25">
      <c r="A60" s="118"/>
      <c r="B60" s="118"/>
      <c r="C60" s="118"/>
      <c r="D60" s="101"/>
      <c r="E60" s="119"/>
      <c r="F60" s="119"/>
      <c r="G60" s="101"/>
      <c r="H60" s="101"/>
      <c r="I60" s="101"/>
      <c r="J60" s="101"/>
      <c r="K60" s="121"/>
      <c r="L60" s="118"/>
      <c r="M60" s="118"/>
      <c r="N60" s="118"/>
      <c r="P60" s="137"/>
      <c r="Q60" s="137"/>
      <c r="R60" s="137"/>
      <c r="S60" s="137"/>
      <c r="T60" s="137"/>
      <c r="U60" s="137"/>
      <c r="V60" s="137"/>
    </row>
    <row r="61" spans="1:83" ht="12.6" customHeight="1" x14ac:dyDescent="0.2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21"/>
      <c r="L61" s="120"/>
      <c r="M61" s="120"/>
      <c r="N61" s="120"/>
      <c r="O61" s="122"/>
      <c r="P61" s="123"/>
      <c r="Q61" s="123"/>
      <c r="R61" s="104"/>
      <c r="S61" s="104"/>
      <c r="T61" s="104"/>
      <c r="U61" s="104"/>
      <c r="V61" s="18"/>
      <c r="W61" s="18"/>
      <c r="X61" s="18"/>
      <c r="Y61" s="18"/>
      <c r="Z61" s="18"/>
      <c r="AA61" s="18"/>
      <c r="AB61" s="131"/>
      <c r="AC61" s="18"/>
      <c r="AD61" s="18"/>
      <c r="AE61" s="18"/>
      <c r="AF61" s="131"/>
      <c r="AG61" s="18"/>
      <c r="AH61" s="18"/>
      <c r="AI61" s="18"/>
      <c r="AJ61" s="18"/>
      <c r="AK61" s="18"/>
      <c r="AL61" s="18"/>
      <c r="AM61" s="18"/>
      <c r="AN61" s="144"/>
    </row>
    <row r="62" spans="1:83" s="97" customFormat="1" ht="21.95" customHeight="1" x14ac:dyDescent="0.25">
      <c r="A62" s="228" t="s">
        <v>0</v>
      </c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124"/>
      <c r="P62" s="125"/>
      <c r="Q62" s="125"/>
      <c r="R62" s="125"/>
      <c r="S62" s="138"/>
      <c r="T62" s="139"/>
      <c r="U62" s="138"/>
      <c r="V62" s="138"/>
      <c r="W62" s="138"/>
      <c r="X62" s="140"/>
      <c r="Y62" s="138"/>
      <c r="Z62" s="138"/>
      <c r="AA62" s="140"/>
      <c r="AB62" s="138"/>
      <c r="AC62" s="138"/>
      <c r="AD62" s="138"/>
      <c r="AE62" s="140"/>
      <c r="AF62" s="138"/>
      <c r="AG62" s="138"/>
      <c r="AH62" s="140"/>
      <c r="AI62" s="138"/>
      <c r="AJ62" s="138"/>
      <c r="AK62" s="138"/>
      <c r="AL62" s="138"/>
      <c r="AM62" s="113"/>
      <c r="AN62" s="138"/>
      <c r="AO62" s="138"/>
      <c r="AP62" s="113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</row>
    <row r="63" spans="1:83" s="98" customFormat="1" ht="14.25" customHeight="1" x14ac:dyDescent="0.2">
      <c r="A63" s="230" t="s">
        <v>75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126"/>
      <c r="P63" s="127"/>
      <c r="Q63" s="127"/>
      <c r="R63" s="127"/>
      <c r="S63" s="141"/>
      <c r="T63" s="142"/>
      <c r="U63" s="141"/>
      <c r="V63" s="141"/>
      <c r="W63" s="141"/>
      <c r="X63" s="127"/>
      <c r="Y63" s="141"/>
      <c r="Z63" s="141"/>
      <c r="AA63" s="127"/>
      <c r="AB63" s="141"/>
      <c r="AC63" s="141"/>
      <c r="AD63" s="141"/>
      <c r="AE63" s="127"/>
      <c r="AF63" s="141"/>
      <c r="AG63" s="141"/>
      <c r="AH63" s="127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41"/>
      <c r="BD63" s="141"/>
      <c r="BE63" s="141"/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41"/>
      <c r="CA63" s="141"/>
      <c r="CB63" s="141"/>
      <c r="CC63" s="141"/>
      <c r="CD63" s="141"/>
      <c r="CE63" s="141"/>
    </row>
    <row r="64" spans="1:83" s="98" customFormat="1" ht="14.25" customHeight="1" x14ac:dyDescent="0.2">
      <c r="A64" s="231" t="s">
        <v>2</v>
      </c>
      <c r="B64" s="231"/>
      <c r="C64" s="231"/>
      <c r="D64" s="231"/>
      <c r="E64" s="231"/>
      <c r="F64" s="231"/>
      <c r="G64" s="231"/>
      <c r="H64" s="231"/>
      <c r="I64" s="231"/>
      <c r="J64" s="231"/>
      <c r="K64" s="231"/>
      <c r="L64" s="231"/>
      <c r="M64" s="231"/>
      <c r="N64" s="231"/>
      <c r="O64" s="128"/>
      <c r="P64" s="127"/>
      <c r="Q64" s="127"/>
      <c r="R64" s="127"/>
      <c r="S64" s="141"/>
      <c r="T64" s="142"/>
      <c r="U64" s="141"/>
      <c r="V64" s="141"/>
      <c r="W64" s="141"/>
      <c r="X64" s="127"/>
      <c r="Y64" s="141"/>
      <c r="Z64" s="141"/>
      <c r="AA64" s="127"/>
      <c r="AB64" s="141"/>
      <c r="AC64" s="141"/>
      <c r="AD64" s="141"/>
      <c r="AE64" s="127"/>
      <c r="AF64" s="141"/>
      <c r="AG64" s="141"/>
      <c r="AH64" s="127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</row>
    <row r="65" spans="1:256" s="98" customFormat="1" ht="14.25" customHeight="1" x14ac:dyDescent="0.2">
      <c r="A65" s="231" t="s">
        <v>76</v>
      </c>
      <c r="B65" s="231"/>
      <c r="C65" s="231"/>
      <c r="D65" s="231"/>
      <c r="E65" s="231"/>
      <c r="F65" s="231"/>
      <c r="G65" s="231"/>
      <c r="H65" s="231"/>
      <c r="I65" s="231"/>
      <c r="J65" s="231"/>
      <c r="K65" s="231"/>
      <c r="L65" s="231"/>
      <c r="M65" s="231"/>
      <c r="N65" s="231"/>
      <c r="O65" s="128"/>
      <c r="P65" s="127"/>
      <c r="Q65" s="127"/>
      <c r="R65" s="127"/>
      <c r="S65" s="141"/>
      <c r="T65" s="142"/>
      <c r="U65" s="141"/>
      <c r="V65" s="141"/>
      <c r="W65" s="141"/>
      <c r="X65" s="127"/>
      <c r="Y65" s="141"/>
      <c r="Z65" s="141"/>
      <c r="AA65" s="127"/>
      <c r="AB65" s="141"/>
      <c r="AC65" s="141"/>
      <c r="AD65" s="141"/>
      <c r="AE65" s="127"/>
      <c r="AF65" s="141"/>
      <c r="AG65" s="141"/>
      <c r="AH65" s="127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</row>
    <row r="66" spans="1:256" s="98" customFormat="1" ht="14.25" customHeight="1" x14ac:dyDescent="0.2">
      <c r="A66" s="232" t="s">
        <v>4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128"/>
      <c r="P66" s="127"/>
      <c r="Q66" s="127"/>
      <c r="R66" s="127"/>
      <c r="S66" s="141"/>
      <c r="T66" s="142"/>
      <c r="U66" s="141"/>
      <c r="V66" s="141"/>
      <c r="W66" s="141"/>
      <c r="X66" s="127"/>
      <c r="Y66" s="141"/>
      <c r="Z66" s="141"/>
      <c r="AA66" s="127"/>
      <c r="AB66" s="141"/>
      <c r="AC66" s="141"/>
      <c r="AD66" s="141"/>
      <c r="AE66" s="127"/>
      <c r="AF66" s="141"/>
      <c r="AG66" s="141"/>
      <c r="AH66" s="127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</row>
    <row r="67" spans="1:256" ht="15" customHeight="1" x14ac:dyDescent="0.25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233" t="s">
        <v>6</v>
      </c>
      <c r="N67" s="233"/>
      <c r="O67" s="122"/>
      <c r="P67" s="123"/>
      <c r="Q67" s="123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31"/>
      <c r="AC67" s="18"/>
      <c r="AD67" s="18"/>
      <c r="AE67" s="18"/>
      <c r="AF67" s="131"/>
      <c r="AG67" s="18"/>
      <c r="AH67" s="18"/>
      <c r="AI67" s="18"/>
      <c r="AJ67" s="18"/>
      <c r="AK67" s="18"/>
      <c r="AL67" s="18"/>
      <c r="AM67" s="18"/>
      <c r="AN67" s="144"/>
    </row>
    <row r="68" spans="1:256" ht="12.6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29" t="str">
        <f>N11</f>
        <v>5.10/R/E-01,Rev. 01</v>
      </c>
    </row>
    <row r="69" spans="1:256" ht="12.6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172" t="s">
        <v>77</v>
      </c>
      <c r="O69" s="130"/>
      <c r="AN69" s="96"/>
    </row>
    <row r="70" spans="1:256" s="1" customFormat="1" ht="12.6" customHeight="1" x14ac:dyDescent="0.25">
      <c r="A70" s="237" t="s">
        <v>10</v>
      </c>
      <c r="B70" s="238"/>
      <c r="C70" s="239"/>
      <c r="D70" s="240" t="str">
        <f>D13</f>
        <v>16174766/N/ET/01</v>
      </c>
      <c r="E70" s="241"/>
      <c r="F70" s="241"/>
      <c r="G70" s="242"/>
      <c r="H70" s="240" t="s">
        <v>12</v>
      </c>
      <c r="I70" s="241"/>
      <c r="J70" s="241"/>
      <c r="K70" s="241"/>
      <c r="L70" s="242"/>
      <c r="M70" s="248" t="str">
        <f>M13</f>
        <v>17/02/2017</v>
      </c>
      <c r="N70" s="244"/>
      <c r="O70" s="130"/>
      <c r="S70" s="57"/>
      <c r="AB70" s="37"/>
      <c r="AF70" s="37"/>
      <c r="AN70" s="96"/>
      <c r="IQ70"/>
      <c r="IR70"/>
      <c r="IS70"/>
      <c r="IT70"/>
      <c r="IU70"/>
      <c r="IV70"/>
    </row>
    <row r="71" spans="1:256" s="1" customFormat="1" ht="12.6" customHeight="1" x14ac:dyDescent="0.25">
      <c r="A71" s="237" t="s">
        <v>14</v>
      </c>
      <c r="B71" s="238"/>
      <c r="C71" s="239"/>
      <c r="D71" s="280" t="str">
        <f>D14</f>
        <v>16/02/2017</v>
      </c>
      <c r="E71" s="246"/>
      <c r="F71" s="246"/>
      <c r="G71" s="247"/>
      <c r="H71" s="237" t="s">
        <v>16</v>
      </c>
      <c r="I71" s="238"/>
      <c r="J71" s="238"/>
      <c r="K71" s="238"/>
      <c r="L71" s="239"/>
      <c r="M71" s="248" t="str">
        <f>M14</f>
        <v>15/02/2018</v>
      </c>
      <c r="N71" s="248"/>
      <c r="O71" s="130"/>
      <c r="S71" s="57"/>
      <c r="AB71" s="37"/>
      <c r="AF71" s="37"/>
      <c r="AN71" s="96"/>
      <c r="IQ71"/>
      <c r="IR71"/>
      <c r="IS71"/>
      <c r="IT71"/>
      <c r="IU71"/>
      <c r="IV71"/>
    </row>
    <row r="72" spans="1:256" ht="12.6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  <c r="AG72" s="281"/>
      <c r="AH72" s="281"/>
      <c r="AI72" s="281"/>
      <c r="AJ72" s="281"/>
      <c r="AK72" s="281"/>
      <c r="AL72" s="281"/>
      <c r="AM72" s="12"/>
    </row>
    <row r="73" spans="1:256" ht="12.6" customHeight="1" x14ac:dyDescent="0.25">
      <c r="A73" s="104" t="s">
        <v>78</v>
      </c>
      <c r="B73" s="104"/>
      <c r="C73" s="104"/>
      <c r="D73" s="104"/>
      <c r="E73" s="104"/>
      <c r="F73" s="8"/>
      <c r="G73" s="146"/>
      <c r="H73" s="146"/>
      <c r="I73" s="8"/>
      <c r="J73" s="8"/>
      <c r="K73" s="8"/>
      <c r="L73" s="8"/>
      <c r="M73" s="8"/>
      <c r="N73" s="8"/>
      <c r="P73" s="306" t="s">
        <v>79</v>
      </c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306"/>
      <c r="AB73" s="306"/>
      <c r="AC73" s="306"/>
      <c r="AD73" s="306"/>
      <c r="AE73" s="306"/>
      <c r="AF73" s="306"/>
      <c r="AG73" s="306"/>
      <c r="AH73" s="306"/>
      <c r="AI73" s="306"/>
      <c r="AJ73" s="306"/>
      <c r="AK73" s="306"/>
      <c r="AL73" s="306"/>
      <c r="AM73" s="306"/>
    </row>
    <row r="74" spans="1:256" s="85" customFormat="1" ht="12.75" x14ac:dyDescent="0.2">
      <c r="A74" s="282"/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"/>
      <c r="P74" s="307"/>
      <c r="Q74" s="307"/>
      <c r="R74" s="307"/>
      <c r="S74" s="307"/>
      <c r="T74" s="306"/>
      <c r="U74" s="306"/>
      <c r="V74" s="306"/>
      <c r="W74" s="306"/>
      <c r="X74" s="306"/>
      <c r="Y74" s="306"/>
      <c r="Z74" s="306"/>
      <c r="AA74" s="306"/>
      <c r="AB74" s="306"/>
      <c r="AC74" s="306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</row>
    <row r="75" spans="1:256" s="100" customFormat="1" ht="39.950000000000003" customHeight="1" x14ac:dyDescent="0.2">
      <c r="A75" s="297" t="s">
        <v>80</v>
      </c>
      <c r="B75" s="297" t="s">
        <v>81</v>
      </c>
      <c r="C75" s="297"/>
      <c r="D75" s="297" t="s">
        <v>82</v>
      </c>
      <c r="E75" s="297"/>
      <c r="F75" s="297" t="s">
        <v>83</v>
      </c>
      <c r="G75" s="297"/>
      <c r="H75" s="297" t="s">
        <v>84</v>
      </c>
      <c r="I75" s="297"/>
      <c r="J75" s="308" t="s">
        <v>85</v>
      </c>
      <c r="K75" s="309"/>
      <c r="L75" s="297" t="s">
        <v>86</v>
      </c>
      <c r="M75" s="310"/>
      <c r="N75" s="297" t="s">
        <v>87</v>
      </c>
      <c r="O75" s="2"/>
      <c r="P75" s="13" t="str">
        <f>D23</f>
        <v>Analog H.V. Tester (AC)</v>
      </c>
      <c r="Q75" s="14"/>
      <c r="R75" s="14"/>
      <c r="S75" s="15"/>
      <c r="T75" s="1"/>
      <c r="U75" s="1"/>
      <c r="V75" s="1"/>
      <c r="W75" s="1"/>
      <c r="X75" s="1"/>
      <c r="Y75" s="1"/>
      <c r="Z75" s="1"/>
      <c r="AA75" s="37"/>
      <c r="AB75" s="1"/>
      <c r="AC75" s="1"/>
      <c r="AD75" s="1"/>
      <c r="AE75" s="37"/>
      <c r="AF75" s="1"/>
      <c r="AG75" s="1"/>
      <c r="AH75" s="1"/>
      <c r="AI75" s="1"/>
      <c r="AJ75" s="58"/>
      <c r="AK75" s="1"/>
      <c r="AL75" s="1"/>
      <c r="AM75" s="144"/>
      <c r="AN75" s="87"/>
    </row>
    <row r="76" spans="1:256" s="100" customFormat="1" ht="12.6" customHeight="1" x14ac:dyDescent="0.2">
      <c r="A76" s="297"/>
      <c r="B76" s="297"/>
      <c r="C76" s="297"/>
      <c r="D76" s="297"/>
      <c r="E76" s="297"/>
      <c r="F76" s="297"/>
      <c r="G76" s="297"/>
      <c r="H76" s="297"/>
      <c r="I76" s="297"/>
      <c r="J76" s="309"/>
      <c r="K76" s="309"/>
      <c r="L76" s="297"/>
      <c r="M76" s="310"/>
      <c r="N76" s="297"/>
      <c r="O76" s="16"/>
      <c r="P76" s="17" t="str">
        <f>A70</f>
        <v>Certificate No.</v>
      </c>
      <c r="Q76" s="18"/>
      <c r="R76" s="18">
        <f>E70</f>
        <v>0</v>
      </c>
      <c r="S76" s="19"/>
      <c r="T76" s="1"/>
      <c r="U76" s="1"/>
      <c r="V76" s="1"/>
      <c r="W76" s="1"/>
      <c r="X76" s="1"/>
      <c r="Y76" s="1"/>
      <c r="Z76" s="1"/>
      <c r="AA76" s="37"/>
      <c r="AB76" s="1"/>
      <c r="AC76" s="1"/>
      <c r="AD76" s="1"/>
      <c r="AE76" s="37"/>
      <c r="AF76" s="1"/>
      <c r="AG76" s="1"/>
      <c r="AH76" s="1"/>
      <c r="AI76" s="1"/>
      <c r="AJ76" s="58"/>
      <c r="AK76" s="1"/>
      <c r="AL76" s="1"/>
      <c r="AM76" s="144"/>
      <c r="AN76" s="87"/>
      <c r="AO76" s="223"/>
      <c r="AP76" s="302"/>
    </row>
    <row r="77" spans="1:256" s="85" customFormat="1" ht="20.100000000000001" customHeight="1" x14ac:dyDescent="0.2">
      <c r="A77" s="282" t="s">
        <v>88</v>
      </c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173" t="s">
        <v>81</v>
      </c>
      <c r="P77" s="283" t="s">
        <v>89</v>
      </c>
      <c r="Q77" s="284"/>
      <c r="R77" s="284"/>
      <c r="S77" s="284"/>
      <c r="T77" s="285"/>
      <c r="U77" s="184" t="s">
        <v>90</v>
      </c>
      <c r="V77" s="185" t="s">
        <v>91</v>
      </c>
      <c r="W77" s="174" t="s">
        <v>92</v>
      </c>
      <c r="X77" s="185" t="s">
        <v>93</v>
      </c>
      <c r="Y77" s="184" t="s">
        <v>94</v>
      </c>
      <c r="Z77" s="185" t="s">
        <v>95</v>
      </c>
      <c r="AA77" s="198" t="s">
        <v>93</v>
      </c>
      <c r="AB77" s="185" t="s">
        <v>94</v>
      </c>
      <c r="AC77" s="185" t="s">
        <v>96</v>
      </c>
      <c r="AD77" s="185"/>
      <c r="AE77" s="198" t="s">
        <v>97</v>
      </c>
      <c r="AF77" s="185" t="s">
        <v>94</v>
      </c>
      <c r="AG77" s="185" t="s">
        <v>98</v>
      </c>
      <c r="AH77" s="185" t="s">
        <v>99</v>
      </c>
      <c r="AI77" s="174" t="s">
        <v>100</v>
      </c>
      <c r="AJ77" s="185" t="s">
        <v>101</v>
      </c>
      <c r="AK77" s="208" t="s">
        <v>102</v>
      </c>
      <c r="AL77" s="183"/>
      <c r="AM77" s="209" t="s">
        <v>103</v>
      </c>
      <c r="AN77" s="20"/>
      <c r="AO77" s="223"/>
      <c r="AP77" s="303"/>
    </row>
    <row r="78" spans="1:256" s="100" customFormat="1" ht="12.6" customHeight="1" x14ac:dyDescent="0.2">
      <c r="A78" s="298" t="s">
        <v>104</v>
      </c>
      <c r="B78" s="147">
        <v>0</v>
      </c>
      <c r="C78" s="148" t="s">
        <v>105</v>
      </c>
      <c r="D78" s="149">
        <v>0</v>
      </c>
      <c r="E78" s="150" t="str">
        <f>C78</f>
        <v>kV</v>
      </c>
      <c r="F78" s="151">
        <v>0</v>
      </c>
      <c r="G78" s="148" t="str">
        <f>C78</f>
        <v>kV</v>
      </c>
      <c r="H78" s="152">
        <v>0</v>
      </c>
      <c r="I78" s="150" t="str">
        <f>C78</f>
        <v>kV</v>
      </c>
      <c r="J78" s="286" t="s">
        <v>41</v>
      </c>
      <c r="K78" s="287"/>
      <c r="L78" s="288" t="s">
        <v>41</v>
      </c>
      <c r="M78" s="289"/>
      <c r="N78" s="227" t="s">
        <v>41</v>
      </c>
      <c r="O78" s="175">
        <f t="shared" ref="O78:O85" si="0">B78</f>
        <v>0</v>
      </c>
      <c r="P78" s="149">
        <v>0</v>
      </c>
      <c r="Q78" s="149">
        <v>0</v>
      </c>
      <c r="R78" s="149">
        <v>0</v>
      </c>
      <c r="S78" s="149">
        <v>0</v>
      </c>
      <c r="T78" s="149">
        <v>0</v>
      </c>
      <c r="U78" s="186">
        <f t="shared" ref="U78:U85" si="1">AVERAGE(P78:T78)</f>
        <v>0</v>
      </c>
      <c r="V78" s="187">
        <f t="shared" ref="V78:V85" si="2">STDEV(P78:T78)</f>
        <v>0</v>
      </c>
      <c r="W78" s="188" t="e">
        <f t="shared" ref="W78:W85" si="3">V78/SQRT(5)*100/O78</f>
        <v>#DIV/0!</v>
      </c>
      <c r="X78" s="189">
        <v>2.5999999999999999E-2</v>
      </c>
      <c r="Y78" s="199">
        <v>2</v>
      </c>
      <c r="Z78" s="200">
        <f t="shared" ref="Z78:Z85" si="4">X78/Y78</f>
        <v>1.2999999999999999E-2</v>
      </c>
      <c r="AA78" s="201">
        <v>2</v>
      </c>
      <c r="AB78" s="200">
        <v>1.732</v>
      </c>
      <c r="AC78" s="202">
        <f t="shared" ref="AC78:AC85" si="5">(AA78/AB78)</f>
        <v>1.1547344110854503</v>
      </c>
      <c r="AD78" s="202"/>
      <c r="AE78" s="203">
        <v>2</v>
      </c>
      <c r="AF78" s="204">
        <v>1.732</v>
      </c>
      <c r="AG78" s="210" t="e">
        <f t="shared" ref="AG78:AG85" si="6">(AE78/2)/AF78*100/O78</f>
        <v>#DIV/0!</v>
      </c>
      <c r="AH78" s="211" t="e">
        <f t="shared" ref="AH78:AH85" si="7">SQRT(W78*W78+Z78*Z78+AC78*AC78+AG78*AG78)</f>
        <v>#DIV/0!</v>
      </c>
      <c r="AI78" s="212" t="e">
        <f t="shared" ref="AI78:AI85" si="8">(AH78*AH78*AH78*AH78)/((W78*W78*W78*W78)/4)</f>
        <v>#DIV/0!</v>
      </c>
      <c r="AJ78" s="213" t="e">
        <f t="shared" ref="AJ78:AJ85" si="9">IF(AI78="Infinity",2,IF(AI78&lt;30,CHOOSE(AI78,13.97,4.53,3.31,2.87,2.65,2.52,2.43,2.37,2.32,2.28,2.25,2.23,2.21,2.2,2.18,2.17,2.16,2.15,2.14,2.13,2.13,2.12,2.12,2.11,2.11,2.1,2.1,2.09,2.09),2))</f>
        <v>#DIV/0!</v>
      </c>
      <c r="AK78" s="214" t="e">
        <f t="shared" ref="AK78:AK85" si="10">ABS(AH78*AJ78)</f>
        <v>#DIV/0!</v>
      </c>
      <c r="AL78" s="215"/>
      <c r="AM78" s="216">
        <v>0.17</v>
      </c>
      <c r="AN78" s="217" t="e">
        <f t="shared" ref="AN78:AN85" si="11">MAX(AK78:AM78)</f>
        <v>#DIV/0!</v>
      </c>
      <c r="AO78" s="223"/>
      <c r="AP78" s="224"/>
    </row>
    <row r="79" spans="1:256" s="100" customFormat="1" ht="12.6" customHeight="1" x14ac:dyDescent="0.2">
      <c r="A79" s="299"/>
      <c r="B79" s="153">
        <v>10</v>
      </c>
      <c r="C79" s="154"/>
      <c r="D79" s="155">
        <v>10.8</v>
      </c>
      <c r="E79" s="156"/>
      <c r="F79" s="157">
        <v>10</v>
      </c>
      <c r="G79" s="154"/>
      <c r="H79" s="158">
        <f t="shared" ref="H79:H85" si="12">F79-D79</f>
        <v>-0.80000000000000071</v>
      </c>
      <c r="I79" s="156"/>
      <c r="J79" s="290">
        <f t="shared" ref="J79:J85" si="13">H79*100/100</f>
        <v>-0.80000000000000071</v>
      </c>
      <c r="K79" s="290"/>
      <c r="L79" s="291">
        <f t="shared" ref="L79:L85" si="14">AN79</f>
        <v>11.776123226897111</v>
      </c>
      <c r="M79" s="292"/>
      <c r="N79" s="176">
        <v>2</v>
      </c>
      <c r="O79" s="175">
        <f t="shared" si="0"/>
        <v>10</v>
      </c>
      <c r="P79" s="155">
        <v>10.8</v>
      </c>
      <c r="Q79" s="155">
        <v>10.8</v>
      </c>
      <c r="R79" s="155">
        <v>10.8</v>
      </c>
      <c r="S79" s="155">
        <v>10.81</v>
      </c>
      <c r="T79" s="155">
        <v>10.8</v>
      </c>
      <c r="U79" s="186">
        <f t="shared" si="1"/>
        <v>10.802000000000001</v>
      </c>
      <c r="V79" s="187">
        <f t="shared" si="2"/>
        <v>4.4721359549994844E-3</v>
      </c>
      <c r="W79" s="188">
        <f t="shared" si="3"/>
        <v>1.9999999999999577E-2</v>
      </c>
      <c r="X79" s="189">
        <v>2.5999999999999999E-2</v>
      </c>
      <c r="Y79" s="199">
        <v>2</v>
      </c>
      <c r="Z79" s="200">
        <f t="shared" si="4"/>
        <v>1.2999999999999999E-2</v>
      </c>
      <c r="AA79" s="201">
        <v>2</v>
      </c>
      <c r="AB79" s="200">
        <v>1.732</v>
      </c>
      <c r="AC79" s="202">
        <f t="shared" si="5"/>
        <v>1.1547344110854503</v>
      </c>
      <c r="AD79" s="202"/>
      <c r="AE79" s="203">
        <v>2</v>
      </c>
      <c r="AF79" s="204">
        <v>1.732</v>
      </c>
      <c r="AG79" s="210">
        <f t="shared" si="6"/>
        <v>5.7736720554272516</v>
      </c>
      <c r="AH79" s="211">
        <f t="shared" si="7"/>
        <v>5.8880616134485555</v>
      </c>
      <c r="AI79" s="212">
        <f t="shared" si="8"/>
        <v>30048956302.130032</v>
      </c>
      <c r="AJ79" s="213">
        <f t="shared" si="9"/>
        <v>2</v>
      </c>
      <c r="AK79" s="214">
        <f t="shared" si="10"/>
        <v>11.776123226897111</v>
      </c>
      <c r="AL79" s="215"/>
      <c r="AM79" s="216">
        <v>0.17</v>
      </c>
      <c r="AN79" s="217">
        <f t="shared" si="11"/>
        <v>11.776123226897111</v>
      </c>
      <c r="AO79" s="223"/>
      <c r="AP79" s="224"/>
    </row>
    <row r="80" spans="1:256" s="100" customFormat="1" ht="12.6" customHeight="1" x14ac:dyDescent="0.2">
      <c r="A80" s="299"/>
      <c r="B80" s="153">
        <v>20</v>
      </c>
      <c r="C80" s="154"/>
      <c r="D80" s="155">
        <v>21.89</v>
      </c>
      <c r="E80" s="156"/>
      <c r="F80" s="157">
        <v>20</v>
      </c>
      <c r="G80" s="154"/>
      <c r="H80" s="158">
        <f t="shared" si="12"/>
        <v>-1.8900000000000006</v>
      </c>
      <c r="I80" s="156"/>
      <c r="J80" s="290">
        <f t="shared" si="13"/>
        <v>-1.8900000000000006</v>
      </c>
      <c r="K80" s="290"/>
      <c r="L80" s="291">
        <f t="shared" si="14"/>
        <v>6.2186181137131262</v>
      </c>
      <c r="M80" s="292"/>
      <c r="N80" s="176">
        <v>2</v>
      </c>
      <c r="O80" s="175">
        <f t="shared" si="0"/>
        <v>20</v>
      </c>
      <c r="P80" s="155">
        <v>21.89</v>
      </c>
      <c r="Q80" s="155">
        <v>21.89</v>
      </c>
      <c r="R80" s="155">
        <v>21.89</v>
      </c>
      <c r="S80" s="155">
        <v>21.87</v>
      </c>
      <c r="T80" s="155">
        <v>21.89</v>
      </c>
      <c r="U80" s="186">
        <f t="shared" si="1"/>
        <v>21.886000000000003</v>
      </c>
      <c r="V80" s="187">
        <f t="shared" si="2"/>
        <v>8.9442719099989687E-3</v>
      </c>
      <c r="W80" s="188">
        <f t="shared" si="3"/>
        <v>1.9999999999999577E-2</v>
      </c>
      <c r="X80" s="189">
        <v>2.5999999999999999E-2</v>
      </c>
      <c r="Y80" s="199">
        <v>2</v>
      </c>
      <c r="Z80" s="200">
        <f t="shared" si="4"/>
        <v>1.2999999999999999E-2</v>
      </c>
      <c r="AA80" s="201">
        <v>2</v>
      </c>
      <c r="AB80" s="200">
        <v>1.732</v>
      </c>
      <c r="AC80" s="202">
        <f t="shared" si="5"/>
        <v>1.1547344110854503</v>
      </c>
      <c r="AD80" s="202"/>
      <c r="AE80" s="203">
        <v>2</v>
      </c>
      <c r="AF80" s="204">
        <v>1.732</v>
      </c>
      <c r="AG80" s="210">
        <f t="shared" si="6"/>
        <v>2.8868360277136258</v>
      </c>
      <c r="AH80" s="211">
        <f t="shared" si="7"/>
        <v>3.1093090568565631</v>
      </c>
      <c r="AI80" s="212">
        <f t="shared" si="8"/>
        <v>2336660279.8339753</v>
      </c>
      <c r="AJ80" s="213">
        <f t="shared" si="9"/>
        <v>2</v>
      </c>
      <c r="AK80" s="214">
        <f t="shared" si="10"/>
        <v>6.2186181137131262</v>
      </c>
      <c r="AL80" s="215"/>
      <c r="AM80" s="216">
        <v>0.17</v>
      </c>
      <c r="AN80" s="217">
        <f t="shared" si="11"/>
        <v>6.2186181137131262</v>
      </c>
      <c r="AO80" s="223"/>
      <c r="AP80" s="225"/>
    </row>
    <row r="81" spans="1:42" s="100" customFormat="1" ht="12.6" customHeight="1" x14ac:dyDescent="0.2">
      <c r="A81" s="299"/>
      <c r="B81" s="153">
        <v>30</v>
      </c>
      <c r="C81" s="154"/>
      <c r="D81" s="155">
        <v>32.94</v>
      </c>
      <c r="E81" s="156"/>
      <c r="F81" s="157">
        <v>30</v>
      </c>
      <c r="G81" s="154"/>
      <c r="H81" s="158">
        <f t="shared" si="12"/>
        <v>-2.9399999999999977</v>
      </c>
      <c r="I81" s="156"/>
      <c r="J81" s="290">
        <f t="shared" si="13"/>
        <v>-2.9399999999999977</v>
      </c>
      <c r="K81" s="290"/>
      <c r="L81" s="291">
        <f t="shared" si="14"/>
        <v>4.488895634782212</v>
      </c>
      <c r="M81" s="292"/>
      <c r="N81" s="176">
        <v>2</v>
      </c>
      <c r="O81" s="175">
        <f t="shared" si="0"/>
        <v>30</v>
      </c>
      <c r="P81" s="155">
        <v>32.94</v>
      </c>
      <c r="Q81" s="155">
        <v>32.94</v>
      </c>
      <c r="R81" s="155">
        <v>32.94</v>
      </c>
      <c r="S81" s="155">
        <v>32.950000000000003</v>
      </c>
      <c r="T81" s="155">
        <v>32.94</v>
      </c>
      <c r="U81" s="186">
        <f t="shared" si="1"/>
        <v>32.941999999999993</v>
      </c>
      <c r="V81" s="187">
        <f t="shared" si="2"/>
        <v>4.472135955001867E-3</v>
      </c>
      <c r="W81" s="188">
        <f t="shared" si="3"/>
        <v>6.6666666666700776E-3</v>
      </c>
      <c r="X81" s="189">
        <v>2.5999999999999999E-2</v>
      </c>
      <c r="Y81" s="199">
        <v>2</v>
      </c>
      <c r="Z81" s="200">
        <f t="shared" si="4"/>
        <v>1.2999999999999999E-2</v>
      </c>
      <c r="AA81" s="201">
        <v>2</v>
      </c>
      <c r="AB81" s="200">
        <v>1.732</v>
      </c>
      <c r="AC81" s="202">
        <f t="shared" si="5"/>
        <v>1.1547344110854503</v>
      </c>
      <c r="AD81" s="202"/>
      <c r="AE81" s="203">
        <v>2</v>
      </c>
      <c r="AF81" s="204">
        <v>1.732</v>
      </c>
      <c r="AG81" s="210">
        <f t="shared" si="6"/>
        <v>1.9245573518090839</v>
      </c>
      <c r="AH81" s="211">
        <f t="shared" si="7"/>
        <v>2.244447817391106</v>
      </c>
      <c r="AI81" s="212">
        <f t="shared" si="8"/>
        <v>51388161248.520683</v>
      </c>
      <c r="AJ81" s="213">
        <f t="shared" si="9"/>
        <v>2</v>
      </c>
      <c r="AK81" s="214">
        <f t="shared" si="10"/>
        <v>4.488895634782212</v>
      </c>
      <c r="AL81" s="215"/>
      <c r="AM81" s="216">
        <v>0.17</v>
      </c>
      <c r="AN81" s="217">
        <f t="shared" si="11"/>
        <v>4.488895634782212</v>
      </c>
      <c r="AO81" s="223"/>
      <c r="AP81" s="225"/>
    </row>
    <row r="82" spans="1:42" s="100" customFormat="1" ht="12.6" customHeight="1" x14ac:dyDescent="0.2">
      <c r="A82" s="299"/>
      <c r="B82" s="153">
        <v>40</v>
      </c>
      <c r="C82" s="154"/>
      <c r="D82" s="155">
        <v>43.72</v>
      </c>
      <c r="E82" s="156"/>
      <c r="F82" s="157">
        <v>40</v>
      </c>
      <c r="G82" s="154"/>
      <c r="H82" s="158">
        <f t="shared" si="12"/>
        <v>-3.7199999999999989</v>
      </c>
      <c r="I82" s="156"/>
      <c r="J82" s="290">
        <f t="shared" si="13"/>
        <v>-3.7199999999999989</v>
      </c>
      <c r="K82" s="290"/>
      <c r="L82" s="291">
        <f t="shared" si="14"/>
        <v>3.6970588974865999</v>
      </c>
      <c r="M82" s="292"/>
      <c r="N82" s="176">
        <v>2</v>
      </c>
      <c r="O82" s="175">
        <f t="shared" si="0"/>
        <v>40</v>
      </c>
      <c r="P82" s="155">
        <v>43.72</v>
      </c>
      <c r="Q82" s="155">
        <v>43.72</v>
      </c>
      <c r="R82" s="155">
        <v>43.72</v>
      </c>
      <c r="S82" s="155">
        <v>43.73</v>
      </c>
      <c r="T82" s="155">
        <v>43.72</v>
      </c>
      <c r="U82" s="186">
        <f t="shared" si="1"/>
        <v>43.721999999999994</v>
      </c>
      <c r="V82" s="187">
        <f t="shared" si="2"/>
        <v>4.472135954998689E-3</v>
      </c>
      <c r="W82" s="188">
        <f t="shared" si="3"/>
        <v>4.9999999999990035E-3</v>
      </c>
      <c r="X82" s="189">
        <v>2.5999999999999999E-2</v>
      </c>
      <c r="Y82" s="199">
        <v>2</v>
      </c>
      <c r="Z82" s="200">
        <f t="shared" si="4"/>
        <v>1.2999999999999999E-2</v>
      </c>
      <c r="AA82" s="201">
        <v>2</v>
      </c>
      <c r="AB82" s="200">
        <v>1.732</v>
      </c>
      <c r="AC82" s="202">
        <f t="shared" si="5"/>
        <v>1.1547344110854503</v>
      </c>
      <c r="AD82" s="202"/>
      <c r="AE82" s="203">
        <v>2</v>
      </c>
      <c r="AF82" s="204">
        <v>1.732</v>
      </c>
      <c r="AG82" s="210">
        <f t="shared" si="6"/>
        <v>1.4434180138568129</v>
      </c>
      <c r="AH82" s="211">
        <f t="shared" si="7"/>
        <v>1.8485294487432999</v>
      </c>
      <c r="AI82" s="212">
        <f t="shared" si="8"/>
        <v>74728362991.661774</v>
      </c>
      <c r="AJ82" s="213">
        <f t="shared" si="9"/>
        <v>2</v>
      </c>
      <c r="AK82" s="214">
        <f t="shared" si="10"/>
        <v>3.6970588974865999</v>
      </c>
      <c r="AL82" s="215"/>
      <c r="AM82" s="216">
        <v>0.17</v>
      </c>
      <c r="AN82" s="217">
        <f t="shared" si="11"/>
        <v>3.6970588974865999</v>
      </c>
      <c r="AO82" s="223"/>
      <c r="AP82" s="225"/>
    </row>
    <row r="83" spans="1:42" s="100" customFormat="1" ht="12.6" customHeight="1" x14ac:dyDescent="0.2">
      <c r="A83" s="299"/>
      <c r="B83" s="153">
        <v>50</v>
      </c>
      <c r="C83" s="154"/>
      <c r="D83" s="155">
        <v>54.17</v>
      </c>
      <c r="E83" s="156"/>
      <c r="F83" s="157">
        <v>50</v>
      </c>
      <c r="G83" s="154"/>
      <c r="H83" s="158">
        <f t="shared" si="12"/>
        <v>-4.1700000000000017</v>
      </c>
      <c r="I83" s="156"/>
      <c r="J83" s="290">
        <f t="shared" si="13"/>
        <v>-4.1700000000000017</v>
      </c>
      <c r="K83" s="290"/>
      <c r="L83" s="291">
        <f t="shared" si="14"/>
        <v>3.2661954138047058</v>
      </c>
      <c r="M83" s="292"/>
      <c r="N83" s="176">
        <v>2</v>
      </c>
      <c r="O83" s="175">
        <f t="shared" si="0"/>
        <v>50</v>
      </c>
      <c r="P83" s="155">
        <v>54.17</v>
      </c>
      <c r="Q83" s="155">
        <v>54.17</v>
      </c>
      <c r="R83" s="155">
        <v>54.17</v>
      </c>
      <c r="S83" s="155">
        <v>54.18</v>
      </c>
      <c r="T83" s="155">
        <v>54.17</v>
      </c>
      <c r="U83" s="186">
        <f t="shared" si="1"/>
        <v>54.172000000000004</v>
      </c>
      <c r="V83" s="187">
        <f t="shared" si="2"/>
        <v>4.4721359549986898E-3</v>
      </c>
      <c r="W83" s="188">
        <f t="shared" si="3"/>
        <v>3.9999999999992038E-3</v>
      </c>
      <c r="X83" s="189">
        <v>2.5999999999999999E-2</v>
      </c>
      <c r="Y83" s="199">
        <v>2</v>
      </c>
      <c r="Z83" s="200">
        <f t="shared" si="4"/>
        <v>1.2999999999999999E-2</v>
      </c>
      <c r="AA83" s="201">
        <v>2</v>
      </c>
      <c r="AB83" s="200">
        <v>1.732</v>
      </c>
      <c r="AC83" s="202">
        <f t="shared" si="5"/>
        <v>1.1547344110854503</v>
      </c>
      <c r="AD83" s="202"/>
      <c r="AE83" s="203">
        <v>2</v>
      </c>
      <c r="AF83" s="204">
        <v>1.732</v>
      </c>
      <c r="AG83" s="210">
        <f t="shared" si="6"/>
        <v>1.1547344110854503</v>
      </c>
      <c r="AH83" s="211">
        <f t="shared" si="7"/>
        <v>1.6330977069023529</v>
      </c>
      <c r="AI83" s="212">
        <f t="shared" si="8"/>
        <v>111139567401.5154</v>
      </c>
      <c r="AJ83" s="213">
        <f t="shared" si="9"/>
        <v>2</v>
      </c>
      <c r="AK83" s="214">
        <f t="shared" si="10"/>
        <v>3.2661954138047058</v>
      </c>
      <c r="AL83" s="215"/>
      <c r="AM83" s="216">
        <v>0.17</v>
      </c>
      <c r="AN83" s="217">
        <f t="shared" si="11"/>
        <v>3.2661954138047058</v>
      </c>
      <c r="AO83" s="223"/>
      <c r="AP83" s="225"/>
    </row>
    <row r="84" spans="1:42" s="100" customFormat="1" ht="12.6" customHeight="1" x14ac:dyDescent="0.2">
      <c r="A84" s="299"/>
      <c r="B84" s="153">
        <v>60</v>
      </c>
      <c r="C84" s="154"/>
      <c r="D84" s="155">
        <v>64.42</v>
      </c>
      <c r="E84" s="156"/>
      <c r="F84" s="157">
        <v>60</v>
      </c>
      <c r="G84" s="154"/>
      <c r="H84" s="158">
        <f t="shared" si="12"/>
        <v>-4.4200000000000017</v>
      </c>
      <c r="I84" s="156"/>
      <c r="J84" s="290">
        <f t="shared" si="13"/>
        <v>-4.4200000000000017</v>
      </c>
      <c r="K84" s="290"/>
      <c r="L84" s="291">
        <f t="shared" si="14"/>
        <v>3.0063745085112541</v>
      </c>
      <c r="M84" s="292"/>
      <c r="N84" s="176">
        <v>2</v>
      </c>
      <c r="O84" s="175">
        <f t="shared" si="0"/>
        <v>60</v>
      </c>
      <c r="P84" s="155">
        <v>64.42</v>
      </c>
      <c r="Q84" s="155">
        <v>64.42</v>
      </c>
      <c r="R84" s="155">
        <v>64.42</v>
      </c>
      <c r="S84" s="155">
        <v>64.430000000000007</v>
      </c>
      <c r="T84" s="155">
        <v>64.42</v>
      </c>
      <c r="U84" s="186">
        <f t="shared" si="1"/>
        <v>64.421999999999997</v>
      </c>
      <c r="V84" s="187">
        <f t="shared" si="2"/>
        <v>4.472135955001867E-3</v>
      </c>
      <c r="W84" s="188">
        <f t="shared" si="3"/>
        <v>3.3333333333350388E-3</v>
      </c>
      <c r="X84" s="189">
        <v>2.5999999999999999E-2</v>
      </c>
      <c r="Y84" s="199">
        <v>2</v>
      </c>
      <c r="Z84" s="200">
        <f t="shared" si="4"/>
        <v>1.2999999999999999E-2</v>
      </c>
      <c r="AA84" s="201">
        <v>2</v>
      </c>
      <c r="AB84" s="200">
        <v>1.732</v>
      </c>
      <c r="AC84" s="202">
        <f t="shared" si="5"/>
        <v>1.1547344110854503</v>
      </c>
      <c r="AD84" s="202"/>
      <c r="AE84" s="203">
        <v>2</v>
      </c>
      <c r="AF84" s="204">
        <v>1.732</v>
      </c>
      <c r="AG84" s="210">
        <f t="shared" si="6"/>
        <v>0.96227867590454197</v>
      </c>
      <c r="AH84" s="211">
        <f t="shared" si="7"/>
        <v>1.503187254255627</v>
      </c>
      <c r="AI84" s="212">
        <f t="shared" si="8"/>
        <v>165423554675.83151</v>
      </c>
      <c r="AJ84" s="213">
        <f t="shared" si="9"/>
        <v>2</v>
      </c>
      <c r="AK84" s="214">
        <f t="shared" si="10"/>
        <v>3.0063745085112541</v>
      </c>
      <c r="AL84" s="215"/>
      <c r="AM84" s="216">
        <v>0.17</v>
      </c>
      <c r="AN84" s="217">
        <f t="shared" si="11"/>
        <v>3.0063745085112541</v>
      </c>
      <c r="AO84" s="223"/>
      <c r="AP84" s="225"/>
    </row>
    <row r="85" spans="1:42" s="100" customFormat="1" ht="12.6" customHeight="1" x14ac:dyDescent="0.2">
      <c r="A85" s="300"/>
      <c r="B85" s="159">
        <v>70</v>
      </c>
      <c r="C85" s="160"/>
      <c r="D85" s="161">
        <v>74.61</v>
      </c>
      <c r="E85" s="162"/>
      <c r="F85" s="163">
        <v>70</v>
      </c>
      <c r="G85" s="160"/>
      <c r="H85" s="164">
        <f t="shared" si="12"/>
        <v>-4.6099999999999994</v>
      </c>
      <c r="I85" s="162"/>
      <c r="J85" s="293">
        <f t="shared" si="13"/>
        <v>-4.6099999999999994</v>
      </c>
      <c r="K85" s="293"/>
      <c r="L85" s="294">
        <f t="shared" si="14"/>
        <v>2.838239414772644</v>
      </c>
      <c r="M85" s="295"/>
      <c r="N85" s="177">
        <v>2</v>
      </c>
      <c r="O85" s="175">
        <f t="shared" si="0"/>
        <v>70</v>
      </c>
      <c r="P85" s="161">
        <v>74.61</v>
      </c>
      <c r="Q85" s="161">
        <v>74.61</v>
      </c>
      <c r="R85" s="161">
        <v>74.61</v>
      </c>
      <c r="S85" s="161">
        <v>74.62</v>
      </c>
      <c r="T85" s="161">
        <v>74.61</v>
      </c>
      <c r="U85" s="186">
        <f t="shared" si="1"/>
        <v>74.611999999999995</v>
      </c>
      <c r="V85" s="187">
        <f t="shared" si="2"/>
        <v>4.472135955001867E-3</v>
      </c>
      <c r="W85" s="188">
        <f t="shared" si="3"/>
        <v>2.8571428571443186E-3</v>
      </c>
      <c r="X85" s="189">
        <v>2.5999999999999999E-2</v>
      </c>
      <c r="Y85" s="199">
        <v>2</v>
      </c>
      <c r="Z85" s="200">
        <f t="shared" si="4"/>
        <v>1.2999999999999999E-2</v>
      </c>
      <c r="AA85" s="201">
        <v>2</v>
      </c>
      <c r="AB85" s="200">
        <v>1.732</v>
      </c>
      <c r="AC85" s="202">
        <f t="shared" si="5"/>
        <v>1.1547344110854503</v>
      </c>
      <c r="AD85" s="202"/>
      <c r="AE85" s="203">
        <v>2</v>
      </c>
      <c r="AF85" s="204">
        <v>1.732</v>
      </c>
      <c r="AG85" s="210">
        <f t="shared" si="6"/>
        <v>0.8248102936324645</v>
      </c>
      <c r="AH85" s="211">
        <f t="shared" si="7"/>
        <v>1.419119707386322</v>
      </c>
      <c r="AI85" s="212">
        <f t="shared" si="8"/>
        <v>243449167279.64124</v>
      </c>
      <c r="AJ85" s="213">
        <f t="shared" si="9"/>
        <v>2</v>
      </c>
      <c r="AK85" s="214">
        <f t="shared" si="10"/>
        <v>2.838239414772644</v>
      </c>
      <c r="AL85" s="215"/>
      <c r="AM85" s="216">
        <v>0.17</v>
      </c>
      <c r="AN85" s="217">
        <f t="shared" si="11"/>
        <v>2.838239414772644</v>
      </c>
      <c r="AO85" s="223"/>
      <c r="AP85" s="225"/>
    </row>
    <row r="86" spans="1:42" s="100" customFormat="1" ht="12.6" customHeight="1" x14ac:dyDescent="0.2">
      <c r="A86" s="165"/>
      <c r="B86" s="166"/>
      <c r="C86" s="167"/>
      <c r="D86" s="168"/>
      <c r="E86" s="169"/>
      <c r="F86" s="170"/>
      <c r="G86" s="170"/>
      <c r="H86" s="168"/>
      <c r="I86" s="168"/>
      <c r="J86" s="178"/>
      <c r="K86" s="178"/>
      <c r="L86" s="179"/>
      <c r="M86" s="179"/>
      <c r="N86" s="180"/>
      <c r="O86" s="181"/>
      <c r="P86" s="169"/>
      <c r="Q86" s="169"/>
      <c r="R86" s="169"/>
      <c r="S86" s="169"/>
      <c r="T86" s="169"/>
      <c r="U86" s="190"/>
      <c r="V86" s="191"/>
      <c r="W86" s="192"/>
      <c r="X86" s="191"/>
      <c r="Y86" s="205"/>
      <c r="Z86" s="206"/>
      <c r="AA86" s="173"/>
      <c r="AB86" s="194"/>
      <c r="AC86" s="207"/>
      <c r="AD86" s="207"/>
      <c r="AE86" s="173"/>
      <c r="AF86" s="194"/>
      <c r="AG86" s="207"/>
      <c r="AH86" s="218"/>
      <c r="AI86" s="219"/>
      <c r="AJ86" s="220"/>
      <c r="AK86" s="221"/>
      <c r="AL86" s="222"/>
      <c r="AM86" s="173"/>
      <c r="AN86" s="20"/>
      <c r="AO86" s="223"/>
      <c r="AP86" s="225"/>
    </row>
    <row r="87" spans="1:42" s="100" customFormat="1" ht="12.6" customHeight="1" x14ac:dyDescent="0.2">
      <c r="A87" s="165"/>
      <c r="B87" s="171"/>
      <c r="C87" s="167"/>
      <c r="D87" s="169"/>
      <c r="E87" s="169"/>
      <c r="F87" s="170"/>
      <c r="G87" s="170"/>
      <c r="H87" s="168"/>
      <c r="I87" s="168"/>
      <c r="J87" s="178"/>
      <c r="K87" s="178"/>
      <c r="L87" s="179"/>
      <c r="M87" s="179"/>
      <c r="N87" s="180"/>
      <c r="O87" s="181"/>
      <c r="P87" s="168"/>
      <c r="Q87" s="168" t="s">
        <v>106</v>
      </c>
      <c r="R87" s="168"/>
      <c r="S87" s="168"/>
      <c r="T87" s="168"/>
      <c r="U87" s="193"/>
      <c r="V87" s="191"/>
      <c r="W87" s="192"/>
      <c r="X87" s="194"/>
      <c r="Y87" s="205"/>
      <c r="Z87" s="206"/>
      <c r="AA87" s="173"/>
      <c r="AB87" s="194"/>
      <c r="AC87" s="207"/>
      <c r="AD87" s="207"/>
      <c r="AE87" s="173"/>
      <c r="AF87" s="194"/>
      <c r="AG87" s="207"/>
      <c r="AH87" s="218"/>
      <c r="AI87" s="219"/>
      <c r="AJ87" s="220"/>
      <c r="AK87" s="221"/>
      <c r="AL87" s="222"/>
      <c r="AM87" s="173"/>
      <c r="AN87" s="20"/>
      <c r="AP87" s="226"/>
    </row>
    <row r="88" spans="1:42" s="100" customFormat="1" ht="12.6" customHeight="1" x14ac:dyDescent="0.2">
      <c r="A88" s="165"/>
      <c r="B88" s="171"/>
      <c r="C88" s="167"/>
      <c r="D88" s="169"/>
      <c r="E88" s="169"/>
      <c r="F88" s="170"/>
      <c r="G88" s="170"/>
      <c r="H88" s="168"/>
      <c r="I88" s="168"/>
      <c r="J88" s="178"/>
      <c r="K88" s="178"/>
      <c r="L88" s="179"/>
      <c r="M88" s="179"/>
      <c r="N88" s="180"/>
      <c r="O88" s="181"/>
      <c r="P88" s="168"/>
      <c r="Q88" s="168"/>
      <c r="R88" s="168"/>
      <c r="S88" s="168"/>
      <c r="T88" s="168"/>
      <c r="U88" s="193"/>
      <c r="V88" s="191"/>
      <c r="W88" s="192"/>
      <c r="X88" s="194"/>
      <c r="Y88" s="205"/>
      <c r="Z88" s="206"/>
      <c r="AA88" s="173"/>
      <c r="AB88" s="194"/>
      <c r="AC88" s="207"/>
      <c r="AD88" s="207"/>
      <c r="AE88" s="173"/>
      <c r="AF88" s="194"/>
      <c r="AG88" s="207"/>
      <c r="AH88" s="218"/>
      <c r="AI88" s="219"/>
      <c r="AJ88" s="220"/>
      <c r="AK88" s="221"/>
      <c r="AL88" s="222"/>
      <c r="AM88" s="173"/>
      <c r="AN88" s="20"/>
      <c r="AP88" s="226"/>
    </row>
    <row r="89" spans="1:42" s="100" customFormat="1" ht="12.6" customHeight="1" x14ac:dyDescent="0.2">
      <c r="A89" s="165"/>
      <c r="B89" s="171"/>
      <c r="C89" s="167"/>
      <c r="D89" s="169"/>
      <c r="E89" s="169"/>
      <c r="F89" s="170"/>
      <c r="G89" s="170"/>
      <c r="H89" s="168"/>
      <c r="I89" s="168"/>
      <c r="J89" s="178"/>
      <c r="K89" s="178"/>
      <c r="L89" s="179"/>
      <c r="M89" s="179"/>
      <c r="N89" s="180"/>
      <c r="O89" s="181"/>
      <c r="P89" s="168"/>
      <c r="Q89" s="168"/>
      <c r="R89" s="168"/>
      <c r="S89" s="168"/>
      <c r="T89" s="168"/>
      <c r="U89" s="193"/>
      <c r="V89" s="191"/>
      <c r="W89" s="192"/>
      <c r="X89" s="194"/>
      <c r="Y89" s="205"/>
      <c r="Z89" s="206"/>
      <c r="AA89" s="173"/>
      <c r="AB89" s="194"/>
      <c r="AC89" s="207"/>
      <c r="AD89" s="207"/>
      <c r="AE89" s="173"/>
      <c r="AF89" s="194"/>
      <c r="AG89" s="207"/>
      <c r="AH89" s="218"/>
      <c r="AI89" s="219"/>
      <c r="AJ89" s="220"/>
      <c r="AK89" s="221"/>
      <c r="AL89" s="222"/>
      <c r="AM89" s="173"/>
      <c r="AN89" s="20"/>
      <c r="AP89" s="226"/>
    </row>
    <row r="90" spans="1:42" s="100" customFormat="1" ht="12.6" customHeight="1" x14ac:dyDescent="0.2">
      <c r="A90" s="165"/>
      <c r="B90" s="171"/>
      <c r="C90" s="167"/>
      <c r="D90" s="169"/>
      <c r="E90" s="169"/>
      <c r="F90" s="170"/>
      <c r="G90" s="170"/>
      <c r="H90" s="168"/>
      <c r="I90" s="168"/>
      <c r="J90" s="178"/>
      <c r="K90" s="178"/>
      <c r="L90" s="179"/>
      <c r="M90" s="179"/>
      <c r="N90" s="180"/>
      <c r="O90" s="181"/>
      <c r="P90" s="168"/>
      <c r="Q90" s="168"/>
      <c r="R90" s="168"/>
      <c r="S90" s="168"/>
      <c r="T90" s="168"/>
      <c r="U90" s="193"/>
      <c r="V90" s="191"/>
      <c r="W90" s="192"/>
      <c r="X90" s="194"/>
      <c r="Y90" s="205"/>
      <c r="Z90" s="206"/>
      <c r="AA90" s="173"/>
      <c r="AB90" s="194"/>
      <c r="AC90" s="207"/>
      <c r="AD90" s="207"/>
      <c r="AE90" s="173"/>
      <c r="AF90" s="194"/>
      <c r="AG90" s="207"/>
      <c r="AH90" s="218"/>
      <c r="AI90" s="219"/>
      <c r="AJ90" s="220"/>
      <c r="AK90" s="221"/>
      <c r="AL90" s="222"/>
      <c r="AM90" s="173"/>
      <c r="AN90" s="20"/>
      <c r="AP90" s="226"/>
    </row>
    <row r="91" spans="1:42" s="100" customFormat="1" ht="12.6" customHeight="1" x14ac:dyDescent="0.2">
      <c r="A91" s="165"/>
      <c r="B91" s="171"/>
      <c r="C91" s="167"/>
      <c r="D91" s="169"/>
      <c r="E91" s="169"/>
      <c r="F91" s="170"/>
      <c r="G91" s="170"/>
      <c r="H91" s="168"/>
      <c r="I91" s="168"/>
      <c r="J91" s="178"/>
      <c r="K91" s="178"/>
      <c r="L91" s="179"/>
      <c r="M91" s="179"/>
      <c r="N91" s="180"/>
      <c r="O91" s="181"/>
      <c r="P91" s="168"/>
      <c r="Q91" s="168"/>
      <c r="R91" s="168"/>
      <c r="S91" s="168"/>
      <c r="T91" s="168"/>
      <c r="U91" s="193"/>
      <c r="V91" s="191"/>
      <c r="W91" s="192"/>
      <c r="X91" s="194"/>
      <c r="Y91" s="205"/>
      <c r="Z91" s="206"/>
      <c r="AA91" s="173"/>
      <c r="AB91" s="194"/>
      <c r="AC91" s="207"/>
      <c r="AD91" s="207"/>
      <c r="AE91" s="173"/>
      <c r="AF91" s="194"/>
      <c r="AG91" s="207"/>
      <c r="AH91" s="218"/>
      <c r="AI91" s="219"/>
      <c r="AJ91" s="220"/>
      <c r="AK91" s="221"/>
      <c r="AL91" s="222"/>
      <c r="AM91" s="173"/>
      <c r="AN91" s="20"/>
      <c r="AP91" s="226"/>
    </row>
    <row r="92" spans="1:42" s="100" customFormat="1" ht="12.6" customHeight="1" x14ac:dyDescent="0.2">
      <c r="A92" s="165"/>
      <c r="B92" s="171"/>
      <c r="C92" s="167"/>
      <c r="D92" s="169"/>
      <c r="E92" s="169"/>
      <c r="F92" s="170"/>
      <c r="G92" s="170"/>
      <c r="H92" s="168"/>
      <c r="I92" s="168"/>
      <c r="J92" s="178"/>
      <c r="K92" s="178"/>
      <c r="L92" s="179"/>
      <c r="M92" s="179"/>
      <c r="N92" s="180"/>
      <c r="O92" s="181"/>
      <c r="P92" s="168"/>
      <c r="Q92" s="168"/>
      <c r="R92" s="168"/>
      <c r="S92" s="168"/>
      <c r="T92" s="168"/>
      <c r="U92" s="193"/>
      <c r="V92" s="191"/>
      <c r="W92" s="192"/>
      <c r="X92" s="194"/>
      <c r="Y92" s="205"/>
      <c r="Z92" s="206"/>
      <c r="AA92" s="173"/>
      <c r="AB92" s="194"/>
      <c r="AC92" s="207"/>
      <c r="AD92" s="207"/>
      <c r="AE92" s="173"/>
      <c r="AF92" s="194"/>
      <c r="AG92" s="207"/>
      <c r="AH92" s="218"/>
      <c r="AI92" s="219"/>
      <c r="AJ92" s="220"/>
      <c r="AK92" s="221"/>
      <c r="AL92" s="222"/>
      <c r="AM92" s="173"/>
      <c r="AN92" s="20"/>
      <c r="AP92" s="226"/>
    </row>
    <row r="93" spans="1:42" s="100" customFormat="1" ht="12.6" customHeight="1" x14ac:dyDescent="0.2">
      <c r="A93" s="165"/>
      <c r="B93" s="171"/>
      <c r="C93" s="167"/>
      <c r="D93" s="169"/>
      <c r="E93" s="169"/>
      <c r="F93" s="170"/>
      <c r="G93" s="170"/>
      <c r="H93" s="168"/>
      <c r="I93" s="168"/>
      <c r="J93" s="178"/>
      <c r="K93" s="178"/>
      <c r="L93" s="179"/>
      <c r="M93" s="179"/>
      <c r="N93" s="180"/>
      <c r="O93" s="181"/>
      <c r="P93" s="168"/>
      <c r="Q93" s="168"/>
      <c r="R93" s="168"/>
      <c r="S93" s="168"/>
      <c r="T93" s="168"/>
      <c r="U93" s="193"/>
      <c r="V93" s="191"/>
      <c r="W93" s="192"/>
      <c r="X93" s="194"/>
      <c r="Y93" s="205"/>
      <c r="Z93" s="206"/>
      <c r="AA93" s="173"/>
      <c r="AB93" s="194"/>
      <c r="AC93" s="207"/>
      <c r="AD93" s="207"/>
      <c r="AE93" s="173"/>
      <c r="AF93" s="194"/>
      <c r="AG93" s="207"/>
      <c r="AH93" s="218"/>
      <c r="AI93" s="219"/>
      <c r="AJ93" s="220"/>
      <c r="AK93" s="221"/>
      <c r="AL93" s="222"/>
      <c r="AM93" s="173"/>
      <c r="AN93" s="20"/>
      <c r="AP93" s="226"/>
    </row>
    <row r="94" spans="1:42" s="100" customFormat="1" ht="12.6" customHeight="1" x14ac:dyDescent="0.2">
      <c r="A94" s="165"/>
      <c r="B94" s="171"/>
      <c r="C94" s="167"/>
      <c r="D94" s="169"/>
      <c r="E94" s="169"/>
      <c r="F94" s="170"/>
      <c r="G94" s="170"/>
      <c r="H94" s="168"/>
      <c r="I94" s="168"/>
      <c r="J94" s="178"/>
      <c r="K94" s="178"/>
      <c r="L94" s="179"/>
      <c r="M94" s="179"/>
      <c r="N94" s="180"/>
      <c r="O94" s="181"/>
      <c r="P94" s="168"/>
      <c r="Q94" s="168"/>
      <c r="R94" s="168"/>
      <c r="S94" s="168"/>
      <c r="T94" s="168"/>
      <c r="U94" s="193"/>
      <c r="V94" s="191"/>
      <c r="W94" s="192"/>
      <c r="X94" s="194"/>
      <c r="Y94" s="205"/>
      <c r="Z94" s="206"/>
      <c r="AA94" s="173"/>
      <c r="AB94" s="194"/>
      <c r="AC94" s="207"/>
      <c r="AD94" s="207"/>
      <c r="AE94" s="173"/>
      <c r="AF94" s="194"/>
      <c r="AG94" s="207"/>
      <c r="AH94" s="218"/>
      <c r="AI94" s="219"/>
      <c r="AJ94" s="220"/>
      <c r="AK94" s="221"/>
      <c r="AL94" s="222"/>
      <c r="AM94" s="173"/>
      <c r="AN94" s="20"/>
      <c r="AP94" s="226"/>
    </row>
    <row r="95" spans="1:42" s="100" customFormat="1" ht="12.6" customHeight="1" x14ac:dyDescent="0.2">
      <c r="A95" s="165"/>
      <c r="B95" s="171"/>
      <c r="C95" s="167"/>
      <c r="D95" s="169"/>
      <c r="E95" s="169"/>
      <c r="F95" s="170"/>
      <c r="G95" s="170"/>
      <c r="H95" s="168"/>
      <c r="I95" s="168"/>
      <c r="J95" s="178"/>
      <c r="K95" s="178"/>
      <c r="L95" s="179"/>
      <c r="M95" s="179"/>
      <c r="N95" s="180"/>
      <c r="O95" s="181"/>
      <c r="P95" s="168"/>
      <c r="Q95" s="168"/>
      <c r="R95" s="168"/>
      <c r="S95" s="168"/>
      <c r="T95" s="168"/>
      <c r="U95" s="193"/>
      <c r="V95" s="191"/>
      <c r="W95" s="192"/>
      <c r="X95" s="194"/>
      <c r="Y95" s="205"/>
      <c r="Z95" s="206"/>
      <c r="AA95" s="173"/>
      <c r="AB95" s="194"/>
      <c r="AC95" s="207"/>
      <c r="AD95" s="207"/>
      <c r="AE95" s="173"/>
      <c r="AF95" s="194"/>
      <c r="AG95" s="207"/>
      <c r="AH95" s="218"/>
      <c r="AI95" s="219"/>
      <c r="AJ95" s="220"/>
      <c r="AK95" s="221"/>
      <c r="AL95" s="222"/>
      <c r="AM95" s="173"/>
      <c r="AN95" s="20"/>
      <c r="AP95" s="226"/>
    </row>
    <row r="96" spans="1:42" s="100" customFormat="1" ht="12.6" customHeight="1" x14ac:dyDescent="0.2">
      <c r="A96" s="165"/>
      <c r="B96" s="171"/>
      <c r="C96" s="167"/>
      <c r="D96" s="169"/>
      <c r="E96" s="169"/>
      <c r="F96" s="170"/>
      <c r="G96" s="170"/>
      <c r="H96" s="168"/>
      <c r="I96" s="168"/>
      <c r="J96" s="178"/>
      <c r="K96" s="178"/>
      <c r="L96" s="179"/>
      <c r="M96" s="179"/>
      <c r="N96" s="180"/>
      <c r="O96" s="181"/>
      <c r="P96" s="168"/>
      <c r="Q96" s="168"/>
      <c r="R96" s="168"/>
      <c r="S96" s="168"/>
      <c r="T96" s="168"/>
      <c r="U96" s="193"/>
      <c r="V96" s="191"/>
      <c r="W96" s="192"/>
      <c r="X96" s="194"/>
      <c r="Y96" s="205"/>
      <c r="Z96" s="206"/>
      <c r="AA96" s="173"/>
      <c r="AB96" s="194"/>
      <c r="AC96" s="207"/>
      <c r="AD96" s="207"/>
      <c r="AE96" s="173"/>
      <c r="AF96" s="194"/>
      <c r="AG96" s="207"/>
      <c r="AH96" s="218"/>
      <c r="AI96" s="219"/>
      <c r="AJ96" s="220"/>
      <c r="AK96" s="221"/>
      <c r="AL96" s="222"/>
      <c r="AM96" s="173"/>
      <c r="AN96" s="20"/>
      <c r="AP96" s="226"/>
    </row>
    <row r="97" spans="1:42" s="100" customFormat="1" ht="12.6" customHeight="1" x14ac:dyDescent="0.2">
      <c r="A97" s="165"/>
      <c r="B97" s="171"/>
      <c r="C97" s="167"/>
      <c r="D97" s="169"/>
      <c r="E97" s="169"/>
      <c r="F97" s="170"/>
      <c r="G97" s="170"/>
      <c r="H97" s="168"/>
      <c r="I97" s="168"/>
      <c r="J97" s="178"/>
      <c r="K97" s="178"/>
      <c r="L97" s="179"/>
      <c r="M97" s="179"/>
      <c r="N97" s="180"/>
      <c r="O97" s="181"/>
      <c r="P97" s="168"/>
      <c r="Q97" s="168"/>
      <c r="R97" s="168"/>
      <c r="S97" s="168"/>
      <c r="T97" s="168"/>
      <c r="U97" s="193"/>
      <c r="V97" s="191"/>
      <c r="W97" s="192"/>
      <c r="X97" s="194"/>
      <c r="Y97" s="205"/>
      <c r="Z97" s="206"/>
      <c r="AA97" s="173"/>
      <c r="AB97" s="194"/>
      <c r="AC97" s="207"/>
      <c r="AD97" s="207"/>
      <c r="AE97" s="173"/>
      <c r="AF97" s="194"/>
      <c r="AG97" s="207"/>
      <c r="AH97" s="218"/>
      <c r="AI97" s="219"/>
      <c r="AJ97" s="220"/>
      <c r="AK97" s="221"/>
      <c r="AL97" s="222"/>
      <c r="AM97" s="173"/>
      <c r="AN97" s="20"/>
      <c r="AP97" s="226"/>
    </row>
    <row r="98" spans="1:42" s="100" customFormat="1" ht="12.6" customHeight="1" x14ac:dyDescent="0.2">
      <c r="A98" s="165"/>
      <c r="B98" s="171"/>
      <c r="C98" s="167"/>
      <c r="D98" s="169"/>
      <c r="E98" s="169"/>
      <c r="F98" s="170"/>
      <c r="G98" s="170"/>
      <c r="H98" s="168"/>
      <c r="I98" s="168"/>
      <c r="J98" s="178"/>
      <c r="K98" s="178"/>
      <c r="L98" s="179"/>
      <c r="M98" s="179"/>
      <c r="N98" s="180"/>
      <c r="O98" s="181"/>
      <c r="P98" s="168"/>
      <c r="Q98" s="168"/>
      <c r="R98" s="168"/>
      <c r="S98" s="168"/>
      <c r="T98" s="168"/>
      <c r="U98" s="193"/>
      <c r="V98" s="191"/>
      <c r="W98" s="192"/>
      <c r="X98" s="194"/>
      <c r="Y98" s="205"/>
      <c r="Z98" s="206"/>
      <c r="AA98" s="173"/>
      <c r="AB98" s="194"/>
      <c r="AC98" s="207"/>
      <c r="AD98" s="207"/>
      <c r="AE98" s="173"/>
      <c r="AF98" s="194"/>
      <c r="AG98" s="207"/>
      <c r="AH98" s="218"/>
      <c r="AI98" s="219"/>
      <c r="AJ98" s="220"/>
      <c r="AK98" s="221"/>
      <c r="AL98" s="222"/>
      <c r="AM98" s="173"/>
      <c r="AN98" s="20"/>
      <c r="AP98" s="226"/>
    </row>
    <row r="99" spans="1:42" s="100" customFormat="1" ht="12.6" customHeight="1" x14ac:dyDescent="0.2">
      <c r="A99" s="165"/>
      <c r="B99" s="171"/>
      <c r="C99" s="167"/>
      <c r="D99" s="169"/>
      <c r="E99" s="169"/>
      <c r="F99" s="170"/>
      <c r="G99" s="170"/>
      <c r="H99" s="168"/>
      <c r="I99" s="168"/>
      <c r="J99" s="178"/>
      <c r="K99" s="178"/>
      <c r="L99" s="179"/>
      <c r="M99" s="179"/>
      <c r="N99" s="180"/>
      <c r="O99" s="181"/>
      <c r="P99" s="168"/>
      <c r="Q99" s="168"/>
      <c r="R99" s="168"/>
      <c r="S99" s="168"/>
      <c r="T99" s="168"/>
      <c r="U99" s="193"/>
      <c r="V99" s="191"/>
      <c r="W99" s="192"/>
      <c r="X99" s="194"/>
      <c r="Y99" s="205"/>
      <c r="Z99" s="206"/>
      <c r="AA99" s="173"/>
      <c r="AB99" s="194"/>
      <c r="AC99" s="207"/>
      <c r="AD99" s="207"/>
      <c r="AE99" s="173"/>
      <c r="AF99" s="194"/>
      <c r="AG99" s="207"/>
      <c r="AH99" s="218"/>
      <c r="AI99" s="219"/>
      <c r="AJ99" s="220"/>
      <c r="AK99" s="221"/>
      <c r="AL99" s="222"/>
      <c r="AM99" s="173"/>
      <c r="AN99" s="20"/>
      <c r="AP99" s="226"/>
    </row>
    <row r="100" spans="1:42" s="100" customFormat="1" ht="12.6" customHeight="1" x14ac:dyDescent="0.2">
      <c r="A100" s="165"/>
      <c r="B100" s="171"/>
      <c r="C100" s="167"/>
      <c r="D100" s="169"/>
      <c r="E100" s="169"/>
      <c r="F100" s="170"/>
      <c r="G100" s="170"/>
      <c r="H100" s="168"/>
      <c r="I100" s="168"/>
      <c r="J100" s="178"/>
      <c r="K100" s="178"/>
      <c r="L100" s="179"/>
      <c r="M100" s="179"/>
      <c r="N100" s="180"/>
      <c r="O100" s="181"/>
      <c r="P100" s="168"/>
      <c r="Q100" s="168"/>
      <c r="R100" s="168"/>
      <c r="S100" s="168"/>
      <c r="T100" s="168"/>
      <c r="U100" s="193"/>
      <c r="V100" s="191"/>
      <c r="W100" s="192"/>
      <c r="X100" s="194"/>
      <c r="Y100" s="205"/>
      <c r="Z100" s="206"/>
      <c r="AA100" s="173"/>
      <c r="AB100" s="194"/>
      <c r="AC100" s="207"/>
      <c r="AD100" s="207"/>
      <c r="AE100" s="173"/>
      <c r="AF100" s="194"/>
      <c r="AG100" s="207"/>
      <c r="AH100" s="218"/>
      <c r="AI100" s="219"/>
      <c r="AJ100" s="220"/>
      <c r="AK100" s="221"/>
      <c r="AL100" s="222"/>
      <c r="AM100" s="173"/>
      <c r="AN100" s="20"/>
      <c r="AP100" s="226"/>
    </row>
    <row r="101" spans="1:42" s="100" customFormat="1" ht="12.6" customHeight="1" x14ac:dyDescent="0.2">
      <c r="A101" s="165"/>
      <c r="B101" s="171"/>
      <c r="C101" s="167"/>
      <c r="D101" s="169"/>
      <c r="E101" s="169"/>
      <c r="F101" s="170"/>
      <c r="G101" s="170"/>
      <c r="H101" s="168"/>
      <c r="I101" s="168"/>
      <c r="J101" s="178"/>
      <c r="K101" s="178"/>
      <c r="L101" s="179"/>
      <c r="M101" s="179"/>
      <c r="N101" s="180"/>
      <c r="O101" s="181"/>
      <c r="P101" s="168"/>
      <c r="Q101" s="168"/>
      <c r="R101" s="168"/>
      <c r="S101" s="168"/>
      <c r="T101" s="168"/>
      <c r="U101" s="193"/>
      <c r="V101" s="191"/>
      <c r="W101" s="192"/>
      <c r="X101" s="194"/>
      <c r="Y101" s="205"/>
      <c r="Z101" s="206"/>
      <c r="AA101" s="173"/>
      <c r="AB101" s="194"/>
      <c r="AC101" s="207"/>
      <c r="AD101" s="207"/>
      <c r="AE101" s="173"/>
      <c r="AF101" s="194"/>
      <c r="AG101" s="207"/>
      <c r="AH101" s="218"/>
      <c r="AI101" s="219"/>
      <c r="AJ101" s="220"/>
      <c r="AK101" s="221"/>
      <c r="AL101" s="222"/>
      <c r="AM101" s="173"/>
      <c r="AN101" s="20"/>
      <c r="AP101" s="226"/>
    </row>
    <row r="102" spans="1:42" s="100" customFormat="1" ht="12.6" customHeight="1" x14ac:dyDescent="0.2">
      <c r="A102" s="165"/>
      <c r="B102" s="171"/>
      <c r="C102" s="167"/>
      <c r="D102" s="169"/>
      <c r="E102" s="169"/>
      <c r="F102" s="170"/>
      <c r="G102" s="170"/>
      <c r="H102" s="168"/>
      <c r="I102" s="168"/>
      <c r="J102" s="178"/>
      <c r="K102" s="178"/>
      <c r="L102" s="179"/>
      <c r="M102" s="179"/>
      <c r="N102" s="180"/>
      <c r="O102" s="181"/>
      <c r="P102" s="168"/>
      <c r="Q102" s="168"/>
      <c r="R102" s="168"/>
      <c r="S102" s="168"/>
      <c r="T102" s="168"/>
      <c r="U102" s="193"/>
      <c r="V102" s="191"/>
      <c r="W102" s="192"/>
      <c r="X102" s="194"/>
      <c r="Y102" s="205"/>
      <c r="Z102" s="206"/>
      <c r="AA102" s="173"/>
      <c r="AB102" s="194"/>
      <c r="AC102" s="207"/>
      <c r="AD102" s="207"/>
      <c r="AE102" s="173"/>
      <c r="AF102" s="194"/>
      <c r="AG102" s="207"/>
      <c r="AH102" s="218"/>
      <c r="AI102" s="219"/>
      <c r="AJ102" s="220"/>
      <c r="AK102" s="221"/>
      <c r="AL102" s="222"/>
      <c r="AM102" s="173"/>
      <c r="AN102" s="20"/>
      <c r="AP102" s="226"/>
    </row>
    <row r="103" spans="1:42" s="100" customFormat="1" ht="12.6" customHeight="1" x14ac:dyDescent="0.2">
      <c r="A103" s="165"/>
      <c r="B103" s="171"/>
      <c r="C103" s="167"/>
      <c r="D103" s="169"/>
      <c r="E103" s="169"/>
      <c r="F103" s="170"/>
      <c r="G103" s="170"/>
      <c r="H103" s="168"/>
      <c r="I103" s="168"/>
      <c r="J103" s="178"/>
      <c r="K103" s="178"/>
      <c r="L103" s="179"/>
      <c r="M103" s="179"/>
      <c r="N103" s="180"/>
      <c r="O103" s="181"/>
      <c r="P103" s="168"/>
      <c r="Q103" s="168"/>
      <c r="R103" s="168"/>
      <c r="S103" s="168"/>
      <c r="T103" s="168"/>
      <c r="U103" s="193"/>
      <c r="V103" s="191"/>
      <c r="W103" s="192"/>
      <c r="X103" s="194"/>
      <c r="Y103" s="205"/>
      <c r="Z103" s="206"/>
      <c r="AA103" s="173"/>
      <c r="AB103" s="194"/>
      <c r="AC103" s="207"/>
      <c r="AD103" s="207"/>
      <c r="AE103" s="173"/>
      <c r="AF103" s="194"/>
      <c r="AG103" s="207"/>
      <c r="AH103" s="218"/>
      <c r="AI103" s="219"/>
      <c r="AJ103" s="220"/>
      <c r="AK103" s="221"/>
      <c r="AL103" s="222"/>
      <c r="AM103" s="173"/>
      <c r="AN103" s="20"/>
      <c r="AP103" s="226"/>
    </row>
    <row r="104" spans="1:42" s="100" customFormat="1" ht="12.6" customHeight="1" x14ac:dyDescent="0.2">
      <c r="A104" s="165"/>
      <c r="B104" s="171"/>
      <c r="C104" s="167"/>
      <c r="D104" s="169"/>
      <c r="E104" s="169"/>
      <c r="F104" s="170"/>
      <c r="G104" s="170"/>
      <c r="H104" s="168"/>
      <c r="I104" s="168"/>
      <c r="J104" s="178"/>
      <c r="K104" s="178"/>
      <c r="L104" s="179"/>
      <c r="M104" s="179"/>
      <c r="N104" s="180"/>
      <c r="O104" s="181"/>
      <c r="P104" s="168"/>
      <c r="Q104" s="168"/>
      <c r="R104" s="168"/>
      <c r="S104" s="168"/>
      <c r="T104" s="168"/>
      <c r="U104" s="193"/>
      <c r="V104" s="191"/>
      <c r="W104" s="192"/>
      <c r="X104" s="194"/>
      <c r="Y104" s="205"/>
      <c r="Z104" s="206"/>
      <c r="AA104" s="173"/>
      <c r="AB104" s="194"/>
      <c r="AC104" s="207"/>
      <c r="AD104" s="207"/>
      <c r="AE104" s="173"/>
      <c r="AF104" s="194"/>
      <c r="AG104" s="207"/>
      <c r="AH104" s="218"/>
      <c r="AI104" s="219"/>
      <c r="AJ104" s="220"/>
      <c r="AK104" s="221"/>
      <c r="AL104" s="222"/>
      <c r="AM104" s="173"/>
      <c r="AN104" s="20"/>
      <c r="AP104" s="226"/>
    </row>
    <row r="105" spans="1:42" s="100" customFormat="1" ht="12.6" customHeight="1" x14ac:dyDescent="0.2">
      <c r="A105" s="165"/>
      <c r="B105" s="171"/>
      <c r="C105" s="167"/>
      <c r="D105" s="169"/>
      <c r="E105" s="169"/>
      <c r="F105" s="170"/>
      <c r="G105" s="170"/>
      <c r="H105" s="168"/>
      <c r="I105" s="168"/>
      <c r="J105" s="178"/>
      <c r="K105" s="178"/>
      <c r="L105" s="179"/>
      <c r="M105" s="179"/>
      <c r="N105" s="180"/>
      <c r="O105" s="181"/>
      <c r="P105" s="168"/>
      <c r="Q105" s="168"/>
      <c r="R105" s="168"/>
      <c r="S105" s="168"/>
      <c r="T105" s="168"/>
      <c r="U105" s="193"/>
      <c r="V105" s="191"/>
      <c r="W105" s="192"/>
      <c r="X105" s="194"/>
      <c r="Y105" s="205"/>
      <c r="Z105" s="206"/>
      <c r="AA105" s="173"/>
      <c r="AB105" s="194"/>
      <c r="AC105" s="207"/>
      <c r="AD105" s="207"/>
      <c r="AE105" s="173"/>
      <c r="AF105" s="194"/>
      <c r="AG105" s="207"/>
      <c r="AH105" s="218"/>
      <c r="AI105" s="219"/>
      <c r="AJ105" s="220"/>
      <c r="AK105" s="221"/>
      <c r="AL105" s="222"/>
      <c r="AM105" s="173"/>
      <c r="AN105" s="20"/>
      <c r="AP105" s="226"/>
    </row>
    <row r="106" spans="1:42" s="100" customFormat="1" ht="12.6" customHeight="1" x14ac:dyDescent="0.2">
      <c r="A106" s="165"/>
      <c r="B106" s="171"/>
      <c r="C106" s="167"/>
      <c r="D106" s="169"/>
      <c r="E106" s="169"/>
      <c r="F106" s="170"/>
      <c r="G106" s="170"/>
      <c r="H106" s="168"/>
      <c r="I106" s="168"/>
      <c r="J106" s="178"/>
      <c r="K106" s="178"/>
      <c r="L106" s="179"/>
      <c r="M106" s="179"/>
      <c r="N106" s="180"/>
      <c r="O106" s="181"/>
      <c r="P106" s="168"/>
      <c r="Q106" s="168"/>
      <c r="R106" s="168"/>
      <c r="S106" s="168"/>
      <c r="T106" s="168"/>
      <c r="U106" s="193"/>
      <c r="V106" s="191"/>
      <c r="W106" s="192"/>
      <c r="X106" s="194"/>
      <c r="Y106" s="205"/>
      <c r="Z106" s="206"/>
      <c r="AA106" s="173"/>
      <c r="AB106" s="194"/>
      <c r="AC106" s="207"/>
      <c r="AD106" s="207"/>
      <c r="AE106" s="173"/>
      <c r="AF106" s="194"/>
      <c r="AG106" s="207"/>
      <c r="AH106" s="218"/>
      <c r="AI106" s="219"/>
      <c r="AJ106" s="220"/>
      <c r="AK106" s="221"/>
      <c r="AL106" s="222"/>
      <c r="AM106" s="173"/>
      <c r="AN106" s="20"/>
      <c r="AP106" s="226"/>
    </row>
    <row r="107" spans="1:42" s="100" customFormat="1" ht="12.6" customHeight="1" x14ac:dyDescent="0.2">
      <c r="A107" s="165"/>
      <c r="B107" s="171"/>
      <c r="C107" s="167"/>
      <c r="D107" s="169"/>
      <c r="E107" s="169"/>
      <c r="F107" s="170"/>
      <c r="G107" s="170"/>
      <c r="H107" s="168"/>
      <c r="I107" s="168"/>
      <c r="J107" s="178"/>
      <c r="K107" s="178"/>
      <c r="L107" s="179"/>
      <c r="M107" s="179"/>
      <c r="N107" s="180"/>
      <c r="O107" s="181"/>
      <c r="P107" s="168"/>
      <c r="Q107" s="168"/>
      <c r="R107" s="168"/>
      <c r="S107" s="168"/>
      <c r="T107" s="168"/>
      <c r="U107" s="193"/>
      <c r="V107" s="191"/>
      <c r="W107" s="192"/>
      <c r="X107" s="194"/>
      <c r="Y107" s="205"/>
      <c r="Z107" s="206"/>
      <c r="AA107" s="173"/>
      <c r="AB107" s="194"/>
      <c r="AC107" s="207"/>
      <c r="AD107" s="207"/>
      <c r="AE107" s="173"/>
      <c r="AF107" s="194"/>
      <c r="AG107" s="207"/>
      <c r="AH107" s="218"/>
      <c r="AI107" s="219"/>
      <c r="AJ107" s="220"/>
      <c r="AK107" s="221"/>
      <c r="AL107" s="222"/>
      <c r="AM107" s="173"/>
      <c r="AN107" s="20"/>
      <c r="AP107" s="226"/>
    </row>
    <row r="108" spans="1:42" s="100" customFormat="1" ht="12.6" customHeight="1" x14ac:dyDescent="0.2">
      <c r="A108" s="165"/>
      <c r="B108" s="171"/>
      <c r="C108" s="167"/>
      <c r="D108" s="169"/>
      <c r="E108" s="169"/>
      <c r="F108" s="170"/>
      <c r="G108" s="170"/>
      <c r="H108" s="168"/>
      <c r="I108" s="168"/>
      <c r="J108" s="178"/>
      <c r="K108" s="178"/>
      <c r="L108" s="179"/>
      <c r="M108" s="179"/>
      <c r="N108" s="180"/>
      <c r="O108" s="181"/>
      <c r="P108" s="168"/>
      <c r="Q108" s="168"/>
      <c r="R108" s="168"/>
      <c r="S108" s="168"/>
      <c r="T108" s="168"/>
      <c r="U108" s="193"/>
      <c r="V108" s="191"/>
      <c r="W108" s="192"/>
      <c r="X108" s="194"/>
      <c r="Y108" s="205"/>
      <c r="Z108" s="206"/>
      <c r="AA108" s="173"/>
      <c r="AB108" s="194"/>
      <c r="AC108" s="207"/>
      <c r="AD108" s="207"/>
      <c r="AE108" s="173"/>
      <c r="AF108" s="194"/>
      <c r="AG108" s="207"/>
      <c r="AH108" s="218"/>
      <c r="AI108" s="219"/>
      <c r="AJ108" s="220"/>
      <c r="AK108" s="221"/>
      <c r="AL108" s="222"/>
      <c r="AM108" s="173"/>
      <c r="AN108" s="20"/>
      <c r="AP108" s="226"/>
    </row>
    <row r="109" spans="1:42" s="100" customFormat="1" ht="12.6" customHeight="1" x14ac:dyDescent="0.2">
      <c r="A109" s="165"/>
      <c r="B109" s="171"/>
      <c r="C109" s="167"/>
      <c r="D109" s="169"/>
      <c r="E109" s="169"/>
      <c r="F109" s="170"/>
      <c r="G109" s="170"/>
      <c r="H109" s="168"/>
      <c r="I109" s="168"/>
      <c r="J109" s="178"/>
      <c r="K109" s="178"/>
      <c r="L109" s="179"/>
      <c r="M109" s="179"/>
      <c r="N109" s="180"/>
      <c r="O109" s="181"/>
      <c r="P109" s="168"/>
      <c r="Q109" s="168"/>
      <c r="R109" s="168"/>
      <c r="S109" s="168"/>
      <c r="T109" s="168"/>
      <c r="U109" s="193"/>
      <c r="V109" s="191"/>
      <c r="W109" s="192"/>
      <c r="X109" s="194"/>
      <c r="Y109" s="205"/>
      <c r="Z109" s="206"/>
      <c r="AA109" s="173"/>
      <c r="AB109" s="194"/>
      <c r="AC109" s="207"/>
      <c r="AD109" s="207"/>
      <c r="AE109" s="173"/>
      <c r="AF109" s="194"/>
      <c r="AG109" s="207"/>
      <c r="AH109" s="218"/>
      <c r="AI109" s="219"/>
      <c r="AJ109" s="220"/>
      <c r="AK109" s="221"/>
      <c r="AL109" s="222"/>
      <c r="AM109" s="173"/>
      <c r="AN109" s="20"/>
      <c r="AP109" s="226"/>
    </row>
    <row r="110" spans="1:42" s="100" customFormat="1" ht="12.6" customHeight="1" x14ac:dyDescent="0.2">
      <c r="A110" s="165"/>
      <c r="B110" s="171"/>
      <c r="C110" s="167"/>
      <c r="D110" s="169"/>
      <c r="E110" s="169"/>
      <c r="F110" s="170"/>
      <c r="G110" s="170"/>
      <c r="H110" s="168"/>
      <c r="I110" s="168"/>
      <c r="J110" s="178"/>
      <c r="K110" s="178"/>
      <c r="L110" s="179"/>
      <c r="M110" s="179"/>
      <c r="N110" s="180"/>
      <c r="O110" s="181"/>
      <c r="P110" s="168"/>
      <c r="Q110" s="168"/>
      <c r="R110" s="168"/>
      <c r="S110" s="168"/>
      <c r="T110" s="168"/>
      <c r="U110" s="193"/>
      <c r="V110" s="191"/>
      <c r="W110" s="192"/>
      <c r="X110" s="194"/>
      <c r="Y110" s="205"/>
      <c r="Z110" s="206"/>
      <c r="AA110" s="173"/>
      <c r="AB110" s="194"/>
      <c r="AC110" s="207"/>
      <c r="AD110" s="207"/>
      <c r="AE110" s="173"/>
      <c r="AF110" s="194"/>
      <c r="AG110" s="207"/>
      <c r="AH110" s="218"/>
      <c r="AI110" s="219"/>
      <c r="AJ110" s="220"/>
      <c r="AK110" s="221"/>
      <c r="AL110" s="222"/>
      <c r="AM110" s="173"/>
      <c r="AN110" s="20"/>
      <c r="AP110" s="226"/>
    </row>
    <row r="111" spans="1:42" s="100" customFormat="1" ht="12.6" customHeight="1" x14ac:dyDescent="0.2">
      <c r="A111" s="165"/>
      <c r="B111" s="171"/>
      <c r="C111" s="167"/>
      <c r="D111" s="169"/>
      <c r="E111" s="169"/>
      <c r="F111" s="170"/>
      <c r="G111" s="170"/>
      <c r="H111" s="168"/>
      <c r="I111" s="168"/>
      <c r="J111" s="178"/>
      <c r="K111" s="178"/>
      <c r="L111" s="179"/>
      <c r="M111" s="179"/>
      <c r="N111" s="180"/>
      <c r="O111" s="181"/>
      <c r="P111" s="168"/>
      <c r="Q111" s="168"/>
      <c r="R111" s="168"/>
      <c r="S111" s="168"/>
      <c r="T111" s="168"/>
      <c r="U111" s="193"/>
      <c r="V111" s="191"/>
      <c r="W111" s="192"/>
      <c r="X111" s="194"/>
      <c r="Y111" s="205"/>
      <c r="Z111" s="206"/>
      <c r="AA111" s="173"/>
      <c r="AB111" s="194"/>
      <c r="AC111" s="207"/>
      <c r="AD111" s="207"/>
      <c r="AE111" s="173"/>
      <c r="AF111" s="194"/>
      <c r="AG111" s="207"/>
      <c r="AH111" s="218"/>
      <c r="AI111" s="219"/>
      <c r="AJ111" s="220"/>
      <c r="AK111" s="221"/>
      <c r="AL111" s="222"/>
      <c r="AM111" s="173"/>
      <c r="AN111" s="20"/>
      <c r="AP111" s="226"/>
    </row>
    <row r="112" spans="1:42" s="100" customFormat="1" ht="12.6" customHeight="1" x14ac:dyDescent="0.2">
      <c r="A112" s="165"/>
      <c r="B112" s="171"/>
      <c r="C112" s="167"/>
      <c r="D112" s="169"/>
      <c r="E112" s="169"/>
      <c r="F112" s="170"/>
      <c r="G112" s="170"/>
      <c r="H112" s="168"/>
      <c r="I112" s="168"/>
      <c r="J112" s="178"/>
      <c r="K112" s="178"/>
      <c r="L112" s="179"/>
      <c r="M112" s="179"/>
      <c r="N112" s="180"/>
      <c r="O112" s="181"/>
      <c r="P112" s="168"/>
      <c r="Q112" s="168"/>
      <c r="R112" s="168"/>
      <c r="S112" s="168"/>
      <c r="T112" s="168"/>
      <c r="U112" s="193"/>
      <c r="V112" s="191"/>
      <c r="W112" s="192"/>
      <c r="X112" s="194"/>
      <c r="Y112" s="205"/>
      <c r="Z112" s="206"/>
      <c r="AA112" s="173"/>
      <c r="AB112" s="194"/>
      <c r="AC112" s="207"/>
      <c r="AD112" s="207"/>
      <c r="AE112" s="173"/>
      <c r="AF112" s="194"/>
      <c r="AG112" s="207"/>
      <c r="AH112" s="218"/>
      <c r="AI112" s="219"/>
      <c r="AJ112" s="220"/>
      <c r="AK112" s="221"/>
      <c r="AL112" s="222"/>
      <c r="AM112" s="173"/>
      <c r="AN112" s="20"/>
      <c r="AP112" s="226"/>
    </row>
    <row r="113" spans="1:256" s="100" customFormat="1" ht="12.6" customHeight="1" x14ac:dyDescent="0.2">
      <c r="A113" s="165"/>
      <c r="B113" s="171"/>
      <c r="C113" s="167"/>
      <c r="D113" s="169"/>
      <c r="E113" s="169"/>
      <c r="F113" s="170"/>
      <c r="G113" s="170"/>
      <c r="H113" s="168"/>
      <c r="I113" s="168"/>
      <c r="J113" s="178"/>
      <c r="K113" s="178"/>
      <c r="L113" s="179"/>
      <c r="M113" s="179"/>
      <c r="N113" s="180"/>
      <c r="O113" s="181"/>
      <c r="P113" s="168"/>
      <c r="Q113" s="168"/>
      <c r="R113" s="168"/>
      <c r="S113" s="168"/>
      <c r="T113" s="168"/>
      <c r="U113" s="193"/>
      <c r="V113" s="191"/>
      <c r="W113" s="192"/>
      <c r="X113" s="194"/>
      <c r="Y113" s="205"/>
      <c r="Z113" s="206"/>
      <c r="AA113" s="173"/>
      <c r="AB113" s="194"/>
      <c r="AC113" s="207"/>
      <c r="AD113" s="207"/>
      <c r="AE113" s="173"/>
      <c r="AF113" s="194"/>
      <c r="AG113" s="207"/>
      <c r="AH113" s="218"/>
      <c r="AI113" s="219"/>
      <c r="AJ113" s="220"/>
      <c r="AK113" s="221"/>
      <c r="AL113" s="222"/>
      <c r="AM113" s="173"/>
      <c r="AN113" s="20"/>
      <c r="AP113" s="226"/>
    </row>
    <row r="114" spans="1:256" s="100" customFormat="1" ht="12.6" customHeight="1" x14ac:dyDescent="0.2">
      <c r="A114" s="165"/>
      <c r="B114" s="171"/>
      <c r="C114" s="167"/>
      <c r="D114" s="169"/>
      <c r="E114" s="169"/>
      <c r="F114" s="170"/>
      <c r="G114" s="170"/>
      <c r="H114" s="168"/>
      <c r="I114" s="168"/>
      <c r="J114" s="178"/>
      <c r="K114" s="178"/>
      <c r="L114" s="179"/>
      <c r="M114" s="179"/>
      <c r="N114" s="180"/>
      <c r="O114" s="181"/>
      <c r="P114" s="168"/>
      <c r="Q114" s="168"/>
      <c r="R114" s="168"/>
      <c r="S114" s="168"/>
      <c r="T114" s="168"/>
      <c r="U114" s="193"/>
      <c r="V114" s="191"/>
      <c r="W114" s="192"/>
      <c r="X114" s="194"/>
      <c r="Y114" s="205"/>
      <c r="Z114" s="206"/>
      <c r="AA114" s="173"/>
      <c r="AB114" s="194"/>
      <c r="AC114" s="207"/>
      <c r="AD114" s="207"/>
      <c r="AE114" s="173"/>
      <c r="AF114" s="194"/>
      <c r="AG114" s="207"/>
      <c r="AH114" s="218"/>
      <c r="AI114" s="219"/>
      <c r="AJ114" s="220"/>
      <c r="AK114" s="221"/>
      <c r="AL114" s="222"/>
      <c r="AM114" s="173"/>
      <c r="AN114" s="20"/>
      <c r="AP114" s="226"/>
    </row>
    <row r="115" spans="1:256" s="2" customFormat="1" ht="12.6" customHeight="1" x14ac:dyDescent="0.25">
      <c r="A115" s="103"/>
      <c r="B115" s="103"/>
      <c r="C115" s="103"/>
      <c r="D115" s="18"/>
      <c r="E115" s="18"/>
      <c r="F115" s="18"/>
      <c r="G115" s="18"/>
      <c r="H115" s="18"/>
      <c r="I115" s="18"/>
      <c r="J115" s="18"/>
      <c r="K115" s="18"/>
      <c r="L115" s="103"/>
      <c r="M115" s="103"/>
      <c r="N115" s="103"/>
      <c r="P115" s="1"/>
      <c r="Q115" s="1"/>
      <c r="R115" s="1"/>
      <c r="S115" s="57"/>
      <c r="T115" s="1"/>
      <c r="U115" s="1"/>
      <c r="V115" s="1"/>
      <c r="W115" s="1"/>
      <c r="X115" s="1"/>
      <c r="Y115" s="1"/>
      <c r="Z115" s="1"/>
      <c r="AA115" s="1"/>
      <c r="AB115" s="37"/>
      <c r="AC115" s="1"/>
      <c r="AD115" s="1"/>
      <c r="AE115" s="1"/>
      <c r="AF115" s="37"/>
      <c r="AG115" s="1"/>
      <c r="AH115" s="1"/>
      <c r="AI115" s="1"/>
      <c r="AJ115" s="1"/>
      <c r="AK115" s="1"/>
      <c r="AL115" s="1"/>
      <c r="AM115" s="1"/>
      <c r="AN115" s="58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IQ115"/>
      <c r="IR115"/>
      <c r="IS115"/>
      <c r="IT115"/>
      <c r="IU115"/>
      <c r="IV115"/>
    </row>
    <row r="116" spans="1:256" s="2" customFormat="1" ht="12.6" customHeight="1" x14ac:dyDescent="0.25">
      <c r="A116" s="278" t="s">
        <v>69</v>
      </c>
      <c r="B116" s="278"/>
      <c r="C116" s="278"/>
      <c r="D116" s="101"/>
      <c r="E116" s="119"/>
      <c r="F116" s="119"/>
      <c r="G116" s="101"/>
      <c r="H116" s="101"/>
      <c r="I116" s="101"/>
      <c r="J116" s="101"/>
      <c r="K116" s="121"/>
      <c r="L116" s="278" t="s">
        <v>70</v>
      </c>
      <c r="M116" s="278"/>
      <c r="N116" s="278"/>
      <c r="P116" s="1"/>
      <c r="Q116" s="1"/>
      <c r="R116" s="1"/>
      <c r="S116" s="57"/>
      <c r="T116" s="1"/>
      <c r="U116" s="1"/>
      <c r="V116" s="1"/>
      <c r="W116" s="1"/>
      <c r="X116" s="1"/>
      <c r="Y116" s="1"/>
      <c r="Z116" s="1"/>
      <c r="AA116" s="1"/>
      <c r="AB116" s="37"/>
      <c r="AC116" s="1"/>
      <c r="AD116" s="1"/>
      <c r="AE116" s="1"/>
      <c r="AF116" s="37"/>
      <c r="AG116" s="1"/>
      <c r="AH116" s="1"/>
      <c r="AI116" s="1"/>
      <c r="AJ116" s="1"/>
      <c r="AK116" s="1"/>
      <c r="AL116" s="1"/>
      <c r="AM116" s="1"/>
      <c r="AN116" s="58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IQ116"/>
      <c r="IR116"/>
      <c r="IS116"/>
      <c r="IT116"/>
      <c r="IU116"/>
      <c r="IV116"/>
    </row>
    <row r="117" spans="1:256" s="1" customFormat="1" ht="12.6" customHeight="1" x14ac:dyDescent="0.25">
      <c r="A117" s="279" t="s">
        <v>71</v>
      </c>
      <c r="B117" s="279"/>
      <c r="C117" s="279"/>
      <c r="D117" s="8"/>
      <c r="E117" s="8"/>
      <c r="F117" s="8"/>
      <c r="G117" s="8"/>
      <c r="H117" s="8"/>
      <c r="I117" s="8"/>
      <c r="J117" s="8"/>
      <c r="K117" s="8"/>
      <c r="L117" s="279" t="s">
        <v>72</v>
      </c>
      <c r="M117" s="279"/>
      <c r="N117" s="279"/>
      <c r="O117" s="2"/>
      <c r="P117" s="137"/>
      <c r="Q117" s="137"/>
      <c r="R117" s="137"/>
      <c r="S117" s="137"/>
      <c r="T117" s="137"/>
      <c r="U117" s="137"/>
      <c r="V117" s="137"/>
      <c r="AB117" s="37"/>
      <c r="AF117" s="37"/>
      <c r="AN117" s="58"/>
      <c r="IQ117"/>
      <c r="IR117"/>
      <c r="IS117"/>
      <c r="IT117"/>
      <c r="IU117"/>
      <c r="IV117"/>
    </row>
    <row r="118" spans="1:256" s="1" customFormat="1" ht="12.6" customHeight="1" x14ac:dyDescent="0.25">
      <c r="A118" s="278" t="s">
        <v>73</v>
      </c>
      <c r="B118" s="278"/>
      <c r="C118" s="278"/>
      <c r="D118" s="101"/>
      <c r="E118" s="119"/>
      <c r="F118" s="119"/>
      <c r="G118" s="101"/>
      <c r="H118" s="101"/>
      <c r="I118" s="101"/>
      <c r="J118" s="101"/>
      <c r="K118" s="121"/>
      <c r="L118" s="278" t="s">
        <v>74</v>
      </c>
      <c r="M118" s="278"/>
      <c r="N118" s="278"/>
      <c r="O118" s="2"/>
      <c r="P118" s="137"/>
      <c r="Q118" s="137"/>
      <c r="R118" s="137"/>
      <c r="S118" s="137"/>
      <c r="T118" s="137"/>
      <c r="U118" s="137"/>
      <c r="V118" s="137"/>
      <c r="AB118" s="37"/>
      <c r="AF118" s="37"/>
      <c r="AN118" s="58"/>
      <c r="IQ118"/>
      <c r="IR118"/>
      <c r="IS118"/>
      <c r="IT118"/>
      <c r="IU118"/>
      <c r="IV118"/>
    </row>
    <row r="119" spans="1:256" ht="12.75" customHeight="1" x14ac:dyDescent="0.25">
      <c r="A119" s="296" t="s">
        <v>107</v>
      </c>
      <c r="B119" s="296"/>
      <c r="C119" s="296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182"/>
      <c r="P119" s="182"/>
      <c r="Q119" s="182"/>
      <c r="R119" s="182"/>
      <c r="S119" s="195"/>
      <c r="T119" s="182"/>
      <c r="U119" s="196"/>
      <c r="V119" s="197"/>
      <c r="W119" s="182"/>
      <c r="AB119" s="1"/>
      <c r="AF119" s="1"/>
      <c r="AK119" s="37"/>
      <c r="AN119" s="37"/>
      <c r="AV119" s="58"/>
    </row>
  </sheetData>
  <mergeCells count="114">
    <mergeCell ref="B75:C76"/>
    <mergeCell ref="D75:E76"/>
    <mergeCell ref="F75:G76"/>
    <mergeCell ref="H75:I76"/>
    <mergeCell ref="J75:K76"/>
    <mergeCell ref="L75:M76"/>
    <mergeCell ref="A119:N119"/>
    <mergeCell ref="A75:A76"/>
    <mergeCell ref="A78:A85"/>
    <mergeCell ref="N32:N33"/>
    <mergeCell ref="N75:N76"/>
    <mergeCell ref="AP76:AP77"/>
    <mergeCell ref="A32:C33"/>
    <mergeCell ref="D32:F33"/>
    <mergeCell ref="G32:I33"/>
    <mergeCell ref="P73:AM74"/>
    <mergeCell ref="A116:C116"/>
    <mergeCell ref="L116:N116"/>
    <mergeCell ref="A117:C117"/>
    <mergeCell ref="L117:N117"/>
    <mergeCell ref="A118:C118"/>
    <mergeCell ref="L118:N118"/>
    <mergeCell ref="J83:K83"/>
    <mergeCell ref="L83:M83"/>
    <mergeCell ref="J84:K84"/>
    <mergeCell ref="L84:M84"/>
    <mergeCell ref="J85:K85"/>
    <mergeCell ref="L85:M85"/>
    <mergeCell ref="J80:K80"/>
    <mergeCell ref="L80:M80"/>
    <mergeCell ref="J81:K81"/>
    <mergeCell ref="L81:M81"/>
    <mergeCell ref="J82:K82"/>
    <mergeCell ref="L82:M82"/>
    <mergeCell ref="A77:N77"/>
    <mergeCell ref="P77:T77"/>
    <mergeCell ref="J78:K78"/>
    <mergeCell ref="L78:M78"/>
    <mergeCell ref="J79:K79"/>
    <mergeCell ref="L79:M79"/>
    <mergeCell ref="A71:C71"/>
    <mergeCell ref="D71:G71"/>
    <mergeCell ref="H71:L71"/>
    <mergeCell ref="M71:N71"/>
    <mergeCell ref="P72:AL72"/>
    <mergeCell ref="A74:N74"/>
    <mergeCell ref="A66:N66"/>
    <mergeCell ref="M67:N67"/>
    <mergeCell ref="A70:C70"/>
    <mergeCell ref="D70:G70"/>
    <mergeCell ref="H70:L70"/>
    <mergeCell ref="M70:N70"/>
    <mergeCell ref="A58:C58"/>
    <mergeCell ref="L58:N58"/>
    <mergeCell ref="A62:N62"/>
    <mergeCell ref="A63:N63"/>
    <mergeCell ref="A64:N64"/>
    <mergeCell ref="A65:N65"/>
    <mergeCell ref="J32:M32"/>
    <mergeCell ref="J33:M33"/>
    <mergeCell ref="A38:N38"/>
    <mergeCell ref="A56:C56"/>
    <mergeCell ref="L56:N56"/>
    <mergeCell ref="A57:C57"/>
    <mergeCell ref="L57:N57"/>
    <mergeCell ref="A28:D28"/>
    <mergeCell ref="E28:H28"/>
    <mergeCell ref="I28:L28"/>
    <mergeCell ref="M28:N28"/>
    <mergeCell ref="A31:C31"/>
    <mergeCell ref="D31:F31"/>
    <mergeCell ref="G31:I31"/>
    <mergeCell ref="J31:M31"/>
    <mergeCell ref="A25:C25"/>
    <mergeCell ref="D25:G25"/>
    <mergeCell ref="H25:K25"/>
    <mergeCell ref="L25:N25"/>
    <mergeCell ref="A26:C26"/>
    <mergeCell ref="D26:G26"/>
    <mergeCell ref="H26:K26"/>
    <mergeCell ref="L26:N26"/>
    <mergeCell ref="A23:C23"/>
    <mergeCell ref="D23:G23"/>
    <mergeCell ref="H23:K23"/>
    <mergeCell ref="L23:N23"/>
    <mergeCell ref="A24:C24"/>
    <mergeCell ref="D24:G24"/>
    <mergeCell ref="H24:K24"/>
    <mergeCell ref="L24:N24"/>
    <mergeCell ref="A16:E16"/>
    <mergeCell ref="F16:N16"/>
    <mergeCell ref="F19:N19"/>
    <mergeCell ref="A20:E20"/>
    <mergeCell ref="F20:N20"/>
    <mergeCell ref="A21:E21"/>
    <mergeCell ref="F21:H21"/>
    <mergeCell ref="I21:L21"/>
    <mergeCell ref="M21:N21"/>
    <mergeCell ref="A17:E19"/>
    <mergeCell ref="E11:L11"/>
    <mergeCell ref="A13:C13"/>
    <mergeCell ref="D13:G13"/>
    <mergeCell ref="H13:L13"/>
    <mergeCell ref="M13:N13"/>
    <mergeCell ref="A14:C14"/>
    <mergeCell ref="D14:G14"/>
    <mergeCell ref="H14:L14"/>
    <mergeCell ref="M14:N14"/>
    <mergeCell ref="A3:N3"/>
    <mergeCell ref="A4:N4"/>
    <mergeCell ref="A5:N5"/>
    <mergeCell ref="A6:N6"/>
    <mergeCell ref="A7:N7"/>
    <mergeCell ref="M9:N9"/>
  </mergeCells>
  <dataValidations count="1">
    <dataValidation type="date" operator="lessThanOrEqual" allowBlank="1" showInputMessage="1" showErrorMessage="1" sqref="R119">
      <formula1>41299</formula1>
    </dataValidation>
  </dataValidations>
  <pageMargins left="0.51" right="0.2" top="0.51" bottom="0.2" header="0.31" footer="0.24"/>
  <pageSetup scale="92" orientation="portrait" verticalDpi="300" r:id="rId1"/>
  <headerFooter scaleWithDoc="0" alignWithMargins="0"/>
  <rowBreaks count="1" manualBreakCount="1">
    <brk id="59" max="1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V24"/>
  <sheetViews>
    <sheetView tabSelected="1" topLeftCell="A9" zoomScaleSheetLayoutView="100" workbookViewId="0">
      <selection activeCell="I18" sqref="I18"/>
    </sheetView>
  </sheetViews>
  <sheetFormatPr defaultColWidth="9.140625" defaultRowHeight="15" x14ac:dyDescent="0.25"/>
  <cols>
    <col min="13" max="13" width="9.5703125" customWidth="1"/>
    <col min="15" max="15" width="10.85546875" bestFit="1" customWidth="1"/>
    <col min="21" max="21" width="10.28515625" customWidth="1"/>
    <col min="22" max="22" width="6" customWidth="1"/>
    <col min="23" max="23" width="7.7109375" customWidth="1"/>
    <col min="24" max="24" width="3.85546875" customWidth="1"/>
    <col min="25" max="25" width="10.42578125" style="4" customWidth="1"/>
    <col min="26" max="26" width="6.7109375" customWidth="1"/>
  </cols>
  <sheetData>
    <row r="2" spans="1:256" x14ac:dyDescent="0.25">
      <c r="B2" s="5" t="s">
        <v>10</v>
      </c>
      <c r="C2" s="6"/>
      <c r="D2" s="7"/>
      <c r="E2" s="240" t="str">
        <f>Sheet1!D13</f>
        <v>16174766/N/ET/01</v>
      </c>
      <c r="F2" s="241"/>
      <c r="G2" s="241"/>
      <c r="H2" s="242"/>
      <c r="I2" s="240" t="s">
        <v>12</v>
      </c>
      <c r="J2" s="241"/>
      <c r="K2" s="241"/>
      <c r="L2" s="241"/>
      <c r="M2" s="242"/>
      <c r="N2" s="248" t="str">
        <f>Sheet1!M13</f>
        <v>17/02/2017</v>
      </c>
      <c r="O2" s="244"/>
    </row>
    <row r="3" spans="1:256" s="1" customFormat="1" ht="12.6" customHeight="1" x14ac:dyDescent="0.25">
      <c r="B3" s="5" t="s">
        <v>14</v>
      </c>
      <c r="C3" s="6"/>
      <c r="D3" s="7"/>
      <c r="E3" s="280" t="str">
        <f>Sheet1!D14</f>
        <v>16/02/2017</v>
      </c>
      <c r="F3" s="246"/>
      <c r="G3" s="246"/>
      <c r="H3" s="247"/>
      <c r="I3" s="237" t="s">
        <v>16</v>
      </c>
      <c r="J3" s="238"/>
      <c r="K3" s="238"/>
      <c r="L3" s="238"/>
      <c r="M3" s="239"/>
      <c r="N3" s="248" t="str">
        <f>Sheet1!M14</f>
        <v>15/02/2018</v>
      </c>
      <c r="O3" s="248"/>
      <c r="S3" s="57"/>
      <c r="Y3" s="84"/>
      <c r="AB3" s="37"/>
      <c r="AF3" s="37"/>
      <c r="AN3" s="96"/>
      <c r="IQ3"/>
      <c r="IR3"/>
      <c r="IS3"/>
      <c r="IT3"/>
      <c r="IU3"/>
      <c r="IV3"/>
    </row>
    <row r="4" spans="1:256" s="1" customFormat="1" ht="12.6" customHeight="1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S4" s="57"/>
      <c r="Y4" s="84"/>
      <c r="AB4" s="37"/>
      <c r="AF4" s="37"/>
      <c r="AN4" s="96"/>
      <c r="IQ4"/>
      <c r="IR4"/>
      <c r="IS4"/>
      <c r="IT4"/>
      <c r="IU4"/>
      <c r="IV4"/>
    </row>
    <row r="5" spans="1:256" s="2" customFormat="1" ht="12.6" customHeight="1" x14ac:dyDescent="0.25">
      <c r="B5" s="266" t="s">
        <v>18</v>
      </c>
      <c r="C5" s="267"/>
      <c r="D5" s="267"/>
      <c r="E5" s="267"/>
      <c r="F5" s="268"/>
      <c r="G5" s="244">
        <f>Sheet1!F16</f>
        <v>16174766</v>
      </c>
      <c r="H5" s="244"/>
      <c r="I5" s="244"/>
      <c r="J5" s="244"/>
      <c r="K5" s="244"/>
      <c r="L5" s="244"/>
      <c r="M5" s="244"/>
      <c r="N5" s="244"/>
      <c r="O5" s="244"/>
      <c r="P5" s="1"/>
      <c r="Q5" s="1"/>
      <c r="R5" s="1"/>
      <c r="S5" s="57"/>
      <c r="T5" s="1"/>
      <c r="U5" s="1"/>
      <c r="V5" s="1"/>
      <c r="W5" s="1"/>
      <c r="X5" s="1"/>
      <c r="Y5" s="84"/>
      <c r="Z5" s="1"/>
      <c r="AA5" s="1"/>
      <c r="AB5" s="37"/>
      <c r="AC5" s="1"/>
      <c r="AD5" s="1"/>
      <c r="AE5" s="1"/>
      <c r="AF5" s="37"/>
      <c r="AG5" s="1"/>
      <c r="AH5" s="1"/>
      <c r="AI5" s="1"/>
      <c r="AJ5" s="1"/>
      <c r="AK5" s="1"/>
      <c r="AL5" s="1"/>
      <c r="AM5" s="1"/>
      <c r="AN5" s="58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IQ5"/>
      <c r="IR5"/>
      <c r="IS5"/>
      <c r="IT5"/>
      <c r="IU5"/>
      <c r="IV5"/>
    </row>
    <row r="6" spans="1:256" s="2" customFormat="1" ht="12.6" customHeight="1" x14ac:dyDescent="0.25">
      <c r="B6" s="317" t="s">
        <v>19</v>
      </c>
      <c r="C6" s="318"/>
      <c r="D6" s="318"/>
      <c r="E6" s="318"/>
      <c r="F6" s="319"/>
      <c r="G6" s="9" t="str">
        <f>Sheet1!F17</f>
        <v>M/s.Enam Casting Pvt Ltd</v>
      </c>
      <c r="H6" s="9"/>
      <c r="I6" s="9"/>
      <c r="J6" s="9"/>
      <c r="K6" s="9"/>
      <c r="L6" s="9"/>
      <c r="M6" s="9"/>
      <c r="N6" s="9"/>
      <c r="O6" s="35"/>
      <c r="P6" s="1"/>
      <c r="Q6" s="1"/>
      <c r="R6" s="1"/>
      <c r="S6" s="57"/>
      <c r="T6" s="1"/>
      <c r="U6" s="1"/>
      <c r="V6" s="1"/>
      <c r="W6" s="1"/>
      <c r="X6" s="1"/>
      <c r="Y6" s="84"/>
      <c r="Z6" s="1"/>
      <c r="AA6" s="1"/>
      <c r="AB6" s="37"/>
      <c r="AC6" s="1"/>
      <c r="AD6" s="1"/>
      <c r="AE6" s="1"/>
      <c r="AF6" s="37"/>
      <c r="AG6" s="1"/>
      <c r="AH6" s="1"/>
      <c r="AI6" s="1"/>
      <c r="AJ6" s="1"/>
      <c r="AK6" s="1"/>
      <c r="AL6" s="1"/>
      <c r="AM6" s="1"/>
      <c r="AN6" s="58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IQ6"/>
      <c r="IR6"/>
      <c r="IS6"/>
      <c r="IT6"/>
      <c r="IU6"/>
      <c r="IV6"/>
    </row>
    <row r="7" spans="1:256" s="1" customFormat="1" ht="12.6" customHeight="1" x14ac:dyDescent="0.25">
      <c r="B7" s="320"/>
      <c r="C7" s="321"/>
      <c r="D7" s="321"/>
      <c r="E7" s="321"/>
      <c r="F7" s="322"/>
      <c r="G7" s="10" t="str">
        <f>Sheet1!F18</f>
        <v>D-72,MIDC Area, Satpur,Nashik - 422 007.</v>
      </c>
      <c r="H7" s="11"/>
      <c r="I7" s="11"/>
      <c r="J7" s="11"/>
      <c r="K7" s="11"/>
      <c r="L7" s="11"/>
      <c r="M7" s="11"/>
      <c r="N7" s="11"/>
      <c r="O7" s="36"/>
      <c r="S7" s="57"/>
      <c r="Y7" s="84"/>
      <c r="AB7" s="37"/>
      <c r="AF7" s="37"/>
      <c r="AK7" s="58"/>
      <c r="AN7" s="58"/>
      <c r="IQ7"/>
      <c r="IR7"/>
      <c r="IS7"/>
      <c r="IT7"/>
      <c r="IU7"/>
      <c r="IV7"/>
    </row>
    <row r="8" spans="1:256" s="1" customFormat="1" ht="12.6" customHeight="1" x14ac:dyDescent="0.25">
      <c r="B8" s="323"/>
      <c r="C8" s="324"/>
      <c r="D8" s="324"/>
      <c r="E8" s="324"/>
      <c r="F8" s="325"/>
      <c r="G8" s="311"/>
      <c r="H8" s="312"/>
      <c r="I8" s="312"/>
      <c r="J8" s="312"/>
      <c r="K8" s="312"/>
      <c r="L8" s="312"/>
      <c r="M8" s="312"/>
      <c r="N8" s="312"/>
      <c r="O8" s="313"/>
      <c r="S8" s="57"/>
      <c r="Y8" s="84"/>
      <c r="AB8" s="37"/>
      <c r="AF8" s="37"/>
      <c r="AK8" s="58"/>
      <c r="AN8" s="58"/>
      <c r="IQ8"/>
      <c r="IR8"/>
      <c r="IS8"/>
      <c r="IT8"/>
      <c r="IU8"/>
      <c r="IV8"/>
    </row>
    <row r="9" spans="1:256" s="1" customFormat="1" ht="12.6" customHeight="1" x14ac:dyDescent="0.25">
      <c r="O9" s="2"/>
      <c r="S9" s="57"/>
      <c r="Y9" s="84"/>
      <c r="AB9" s="37"/>
      <c r="AF9" s="37"/>
      <c r="AK9" s="58"/>
      <c r="AN9" s="58"/>
      <c r="IQ9"/>
      <c r="IR9"/>
      <c r="IS9"/>
      <c r="IT9"/>
      <c r="IU9"/>
      <c r="IV9"/>
    </row>
    <row r="11" spans="1:256" ht="26.25" x14ac:dyDescent="0.25">
      <c r="A11" s="2"/>
      <c r="B11" s="281"/>
      <c r="C11" s="281"/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12"/>
      <c r="Z11" s="58"/>
    </row>
    <row r="12" spans="1:256" x14ac:dyDescent="0.25">
      <c r="A12" s="2"/>
      <c r="B12" s="306" t="s">
        <v>79</v>
      </c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58"/>
    </row>
    <row r="13" spans="1:256" x14ac:dyDescent="0.25">
      <c r="A13" s="2"/>
      <c r="B13" s="307"/>
      <c r="C13" s="307"/>
      <c r="D13" s="307"/>
      <c r="E13" s="307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85"/>
    </row>
    <row r="14" spans="1:256" x14ac:dyDescent="0.25">
      <c r="A14" s="2"/>
      <c r="B14" s="13" t="str">
        <f>Sheet1!D23</f>
        <v>Analog H.V. Tester (AC)</v>
      </c>
      <c r="C14" s="14"/>
      <c r="D14" s="14"/>
      <c r="E14" s="15"/>
      <c r="F14" s="1"/>
      <c r="G14" s="1"/>
      <c r="H14" s="1"/>
      <c r="I14" s="1"/>
      <c r="J14" s="1"/>
      <c r="K14" s="1"/>
      <c r="L14" s="1"/>
      <c r="M14" s="37"/>
      <c r="N14" s="1"/>
      <c r="O14" s="1"/>
      <c r="P14" s="1"/>
      <c r="Q14" s="37"/>
      <c r="R14" s="1"/>
      <c r="S14" s="1"/>
      <c r="T14" s="1"/>
      <c r="U14" s="1"/>
      <c r="V14" s="58"/>
      <c r="W14" s="1"/>
      <c r="X14" s="1"/>
      <c r="Y14" s="86"/>
      <c r="Z14" s="87"/>
    </row>
    <row r="15" spans="1:256" x14ac:dyDescent="0.25">
      <c r="A15" s="16"/>
      <c r="B15" s="17" t="str">
        <f>Sheet1!A13</f>
        <v>Certificate No.</v>
      </c>
      <c r="C15" s="18"/>
      <c r="D15" s="18" t="str">
        <f>Sheet1!D13</f>
        <v>16174766/N/ET/01</v>
      </c>
      <c r="E15" s="19"/>
      <c r="F15" s="1"/>
      <c r="G15" s="1"/>
      <c r="H15" s="1"/>
      <c r="I15" s="1"/>
      <c r="J15" s="1"/>
      <c r="K15" s="1"/>
      <c r="L15" s="1"/>
      <c r="M15" s="37"/>
      <c r="N15" s="1"/>
      <c r="O15" s="1"/>
      <c r="P15" s="1"/>
      <c r="Q15" s="37"/>
      <c r="R15" s="1"/>
      <c r="S15" s="1"/>
      <c r="T15" s="1"/>
      <c r="U15" s="1"/>
      <c r="V15" s="58"/>
      <c r="W15" s="1"/>
      <c r="X15" s="1"/>
      <c r="Y15" s="86"/>
      <c r="Z15" s="87"/>
    </row>
    <row r="16" spans="1:256" s="3" customFormat="1" ht="38.25" x14ac:dyDescent="0.2">
      <c r="A16" s="20" t="s">
        <v>81</v>
      </c>
      <c r="B16" s="314" t="s">
        <v>89</v>
      </c>
      <c r="C16" s="315"/>
      <c r="D16" s="315"/>
      <c r="E16" s="315"/>
      <c r="F16" s="316"/>
      <c r="G16" s="23" t="s">
        <v>90</v>
      </c>
      <c r="H16" s="24" t="s">
        <v>91</v>
      </c>
      <c r="I16" s="21" t="s">
        <v>92</v>
      </c>
      <c r="J16" s="24" t="s">
        <v>93</v>
      </c>
      <c r="K16" s="23" t="s">
        <v>94</v>
      </c>
      <c r="L16" s="24" t="s">
        <v>95</v>
      </c>
      <c r="M16" s="38" t="s">
        <v>93</v>
      </c>
      <c r="N16" s="24" t="s">
        <v>94</v>
      </c>
      <c r="O16" s="24" t="s">
        <v>96</v>
      </c>
      <c r="P16" s="24"/>
      <c r="Q16" s="38" t="s">
        <v>97</v>
      </c>
      <c r="R16" s="24" t="s">
        <v>94</v>
      </c>
      <c r="S16" s="24" t="s">
        <v>98</v>
      </c>
      <c r="T16" s="24" t="s">
        <v>99</v>
      </c>
      <c r="U16" s="21" t="s">
        <v>100</v>
      </c>
      <c r="V16" s="24" t="s">
        <v>101</v>
      </c>
      <c r="W16" s="59" t="s">
        <v>102</v>
      </c>
      <c r="X16" s="22"/>
      <c r="Y16" s="88" t="s">
        <v>103</v>
      </c>
      <c r="Z16" s="89" t="s">
        <v>108</v>
      </c>
    </row>
    <row r="17" spans="1:26" s="3" customFormat="1" ht="18" customHeight="1" x14ac:dyDescent="0.2">
      <c r="A17" s="25">
        <f>Sheet1!O78</f>
        <v>0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7">
        <f>AVERAGE(B17:F17)</f>
        <v>0</v>
      </c>
      <c r="H17" s="28">
        <f t="shared" ref="H17:H24" si="0">STDEV(B17:F17)</f>
        <v>0</v>
      </c>
      <c r="I17" s="39" t="e">
        <f t="shared" ref="I17:I24" si="1">H17/SQRT(5)*100/A17</f>
        <v>#DIV/0!</v>
      </c>
      <c r="J17" s="40">
        <v>2.5999999999999999E-2</v>
      </c>
      <c r="K17" s="41">
        <v>2</v>
      </c>
      <c r="L17" s="42">
        <f t="shared" ref="L17:L24" si="2">J17/K17</f>
        <v>1.2999999999999999E-2</v>
      </c>
      <c r="M17" s="43">
        <v>2</v>
      </c>
      <c r="N17" s="42">
        <v>1.732</v>
      </c>
      <c r="O17" s="44">
        <f t="shared" ref="O17:O24" si="3">(M17/N17)</f>
        <v>1.1547344110854503</v>
      </c>
      <c r="P17" s="44"/>
      <c r="Q17" s="60">
        <v>2</v>
      </c>
      <c r="R17" s="61">
        <v>1.732</v>
      </c>
      <c r="S17" s="62" t="e">
        <f>(Q17/2)/R17*100/A17</f>
        <v>#DIV/0!</v>
      </c>
      <c r="T17" s="63" t="e">
        <f t="shared" ref="T17:T24" si="4">SQRT(I17*I17+L17*L17+O17*O17+S17*S17)</f>
        <v>#DIV/0!</v>
      </c>
      <c r="U17" s="64" t="e">
        <f t="shared" ref="U17:U24" si="5">(T17*T17*T17*T17)/((I17*I17*I17*I17)/4)</f>
        <v>#DIV/0!</v>
      </c>
      <c r="V17" s="65" t="e">
        <f t="shared" ref="V17:V24" si="6">IF(U17="Infinity",2,IF(U17&lt;30,CHOOSE(U17,13.97,4.53,3.31,2.87,2.65,2.52,2.43,2.37,2.32,2.28,2.25,2.23,2.21,2.2,2.18,2.17,2.16,2.15,2.14,2.13,2.13,2.12,2.12,2.11,2.11,2.1,2.1,2.09,2.09),2))</f>
        <v>#DIV/0!</v>
      </c>
      <c r="W17" s="66" t="e">
        <f t="shared" ref="W17:W24" si="7">ABS(T17*V17)</f>
        <v>#DIV/0!</v>
      </c>
      <c r="X17" s="67"/>
      <c r="Y17" s="90">
        <v>0.17</v>
      </c>
      <c r="Z17" s="91" t="e">
        <f t="shared" ref="Z17:Z24" si="8">MAX(W17:Y17)</f>
        <v>#DIV/0!</v>
      </c>
    </row>
    <row r="18" spans="1:26" s="3" customFormat="1" ht="18" customHeight="1" x14ac:dyDescent="0.2">
      <c r="A18" s="25">
        <f>Sheet1!O79</f>
        <v>10</v>
      </c>
      <c r="B18" s="29">
        <v>10.8</v>
      </c>
      <c r="C18" s="29">
        <v>10.8</v>
      </c>
      <c r="D18" s="29">
        <v>10.8</v>
      </c>
      <c r="E18" s="29">
        <v>10.81</v>
      </c>
      <c r="F18" s="29">
        <v>10.8</v>
      </c>
      <c r="G18" s="30">
        <f t="shared" ref="G18:G24" si="9">AVERAGE(B18:F18)</f>
        <v>10.802000000000001</v>
      </c>
      <c r="H18" s="31">
        <f t="shared" si="0"/>
        <v>4.4721359549994844E-3</v>
      </c>
      <c r="I18" s="45">
        <f t="shared" si="1"/>
        <v>1.9999999999999577E-2</v>
      </c>
      <c r="J18" s="46">
        <v>2.5999999999999999E-2</v>
      </c>
      <c r="K18" s="47">
        <v>2</v>
      </c>
      <c r="L18" s="48">
        <f t="shared" si="2"/>
        <v>1.2999999999999999E-2</v>
      </c>
      <c r="M18" s="49">
        <v>2</v>
      </c>
      <c r="N18" s="48">
        <v>1.732</v>
      </c>
      <c r="O18" s="50">
        <f t="shared" si="3"/>
        <v>1.1547344110854503</v>
      </c>
      <c r="P18" s="50"/>
      <c r="Q18" s="68">
        <v>2</v>
      </c>
      <c r="R18" s="69">
        <v>1.732</v>
      </c>
      <c r="S18" s="70">
        <f t="shared" ref="S18:S24" si="10">(Q18/2)/R18*100/100</f>
        <v>0.57736720554272514</v>
      </c>
      <c r="T18" s="71">
        <f t="shared" si="4"/>
        <v>1.2912526670567142</v>
      </c>
      <c r="U18" s="72">
        <f t="shared" si="5"/>
        <v>69500020.852324262</v>
      </c>
      <c r="V18" s="73">
        <f t="shared" si="6"/>
        <v>2</v>
      </c>
      <c r="W18" s="74">
        <f t="shared" si="7"/>
        <v>2.5825053341134283</v>
      </c>
      <c r="X18" s="75"/>
      <c r="Y18" s="92">
        <v>3</v>
      </c>
      <c r="Z18" s="93">
        <f t="shared" si="8"/>
        <v>3</v>
      </c>
    </row>
    <row r="19" spans="1:26" s="3" customFormat="1" ht="18" customHeight="1" x14ac:dyDescent="0.2">
      <c r="A19" s="25">
        <f>Sheet1!O80</f>
        <v>20</v>
      </c>
      <c r="B19" s="29">
        <v>21.89</v>
      </c>
      <c r="C19" s="29">
        <v>21.89</v>
      </c>
      <c r="D19" s="29">
        <v>21.89</v>
      </c>
      <c r="E19" s="29">
        <v>21.87</v>
      </c>
      <c r="F19" s="29">
        <v>21.89</v>
      </c>
      <c r="G19" s="30">
        <f t="shared" si="9"/>
        <v>21.886000000000003</v>
      </c>
      <c r="H19" s="31">
        <f t="shared" si="0"/>
        <v>8.9442719099989687E-3</v>
      </c>
      <c r="I19" s="45">
        <f t="shared" si="1"/>
        <v>1.9999999999999577E-2</v>
      </c>
      <c r="J19" s="46">
        <v>2.5999999999999999E-2</v>
      </c>
      <c r="K19" s="47">
        <v>2</v>
      </c>
      <c r="L19" s="48">
        <f t="shared" si="2"/>
        <v>1.2999999999999999E-2</v>
      </c>
      <c r="M19" s="49">
        <v>2</v>
      </c>
      <c r="N19" s="48">
        <v>1.732</v>
      </c>
      <c r="O19" s="50">
        <f t="shared" si="3"/>
        <v>1.1547344110854503</v>
      </c>
      <c r="P19" s="50"/>
      <c r="Q19" s="68">
        <v>2</v>
      </c>
      <c r="R19" s="69">
        <v>1.732</v>
      </c>
      <c r="S19" s="70">
        <f t="shared" si="10"/>
        <v>0.57736720554272514</v>
      </c>
      <c r="T19" s="71">
        <f t="shared" si="4"/>
        <v>1.2912526670567142</v>
      </c>
      <c r="U19" s="72">
        <f t="shared" si="5"/>
        <v>69500020.852324262</v>
      </c>
      <c r="V19" s="73">
        <f t="shared" si="6"/>
        <v>2</v>
      </c>
      <c r="W19" s="74">
        <f t="shared" si="7"/>
        <v>2.5825053341134283</v>
      </c>
      <c r="X19" s="75"/>
      <c r="Y19" s="92">
        <v>3</v>
      </c>
      <c r="Z19" s="93">
        <f t="shared" si="8"/>
        <v>3</v>
      </c>
    </row>
    <row r="20" spans="1:26" s="3" customFormat="1" ht="18" customHeight="1" x14ac:dyDescent="0.2">
      <c r="A20" s="25">
        <f>Sheet1!O81</f>
        <v>30</v>
      </c>
      <c r="B20" s="29">
        <v>32.94</v>
      </c>
      <c r="C20" s="29">
        <v>32.94</v>
      </c>
      <c r="D20" s="29">
        <v>32.94</v>
      </c>
      <c r="E20" s="29">
        <v>32.950000000000003</v>
      </c>
      <c r="F20" s="29">
        <v>32.94</v>
      </c>
      <c r="G20" s="30">
        <f t="shared" si="9"/>
        <v>32.941999999999993</v>
      </c>
      <c r="H20" s="31">
        <f t="shared" si="0"/>
        <v>4.472135955001867E-3</v>
      </c>
      <c r="I20" s="45">
        <f t="shared" si="1"/>
        <v>6.6666666666700776E-3</v>
      </c>
      <c r="J20" s="46">
        <v>2.5999999999999999E-2</v>
      </c>
      <c r="K20" s="47">
        <v>2</v>
      </c>
      <c r="L20" s="48">
        <f t="shared" si="2"/>
        <v>1.2999999999999999E-2</v>
      </c>
      <c r="M20" s="49">
        <v>2</v>
      </c>
      <c r="N20" s="48">
        <v>1.732</v>
      </c>
      <c r="O20" s="50">
        <f t="shared" si="3"/>
        <v>1.1547344110854503</v>
      </c>
      <c r="P20" s="50"/>
      <c r="Q20" s="68">
        <v>2</v>
      </c>
      <c r="R20" s="69">
        <v>1.732</v>
      </c>
      <c r="S20" s="70">
        <f t="shared" si="10"/>
        <v>0.57736720554272514</v>
      </c>
      <c r="T20" s="71">
        <f t="shared" si="4"/>
        <v>1.2911149811792604</v>
      </c>
      <c r="U20" s="72">
        <f t="shared" si="5"/>
        <v>5627100984.8580122</v>
      </c>
      <c r="V20" s="73">
        <f t="shared" si="6"/>
        <v>2</v>
      </c>
      <c r="W20" s="74">
        <f t="shared" si="7"/>
        <v>2.5822299623585208</v>
      </c>
      <c r="X20" s="75"/>
      <c r="Y20" s="92">
        <v>3</v>
      </c>
      <c r="Z20" s="93">
        <f t="shared" si="8"/>
        <v>3</v>
      </c>
    </row>
    <row r="21" spans="1:26" s="3" customFormat="1" ht="18" customHeight="1" x14ac:dyDescent="0.2">
      <c r="A21" s="25">
        <f>Sheet1!O82</f>
        <v>40</v>
      </c>
      <c r="B21" s="29">
        <v>43.72</v>
      </c>
      <c r="C21" s="29">
        <v>43.72</v>
      </c>
      <c r="D21" s="29">
        <v>43.72</v>
      </c>
      <c r="E21" s="29">
        <v>43.73</v>
      </c>
      <c r="F21" s="29">
        <v>43.72</v>
      </c>
      <c r="G21" s="30">
        <f t="shared" si="9"/>
        <v>43.721999999999994</v>
      </c>
      <c r="H21" s="31">
        <f t="shared" si="0"/>
        <v>4.472135954998689E-3</v>
      </c>
      <c r="I21" s="45">
        <f t="shared" si="1"/>
        <v>4.9999999999990035E-3</v>
      </c>
      <c r="J21" s="46">
        <v>2.5999999999999999E-2</v>
      </c>
      <c r="K21" s="47">
        <v>2</v>
      </c>
      <c r="L21" s="48">
        <f t="shared" si="2"/>
        <v>1.2999999999999999E-2</v>
      </c>
      <c r="M21" s="49">
        <v>2</v>
      </c>
      <c r="N21" s="48">
        <v>1.732</v>
      </c>
      <c r="O21" s="50">
        <f t="shared" si="3"/>
        <v>1.1547344110854503</v>
      </c>
      <c r="P21" s="50"/>
      <c r="Q21" s="68">
        <v>2</v>
      </c>
      <c r="R21" s="69">
        <v>1.732</v>
      </c>
      <c r="S21" s="70">
        <f t="shared" si="10"/>
        <v>0.57736720554272514</v>
      </c>
      <c r="T21" s="71">
        <f t="shared" si="4"/>
        <v>1.2911074510593907</v>
      </c>
      <c r="U21" s="72">
        <f t="shared" si="5"/>
        <v>17784003037.646809</v>
      </c>
      <c r="V21" s="73">
        <f t="shared" si="6"/>
        <v>2</v>
      </c>
      <c r="W21" s="74">
        <f t="shared" si="7"/>
        <v>2.5822149021187815</v>
      </c>
      <c r="X21" s="75"/>
      <c r="Y21" s="92">
        <v>3</v>
      </c>
      <c r="Z21" s="93">
        <f t="shared" si="8"/>
        <v>3</v>
      </c>
    </row>
    <row r="22" spans="1:26" s="3" customFormat="1" ht="18" customHeight="1" x14ac:dyDescent="0.2">
      <c r="A22" s="25">
        <f>Sheet1!O83</f>
        <v>50</v>
      </c>
      <c r="B22" s="29">
        <v>54.17</v>
      </c>
      <c r="C22" s="29">
        <v>54.17</v>
      </c>
      <c r="D22" s="29">
        <v>54.17</v>
      </c>
      <c r="E22" s="29">
        <v>54.18</v>
      </c>
      <c r="F22" s="29">
        <v>54.17</v>
      </c>
      <c r="G22" s="30">
        <f t="shared" si="9"/>
        <v>54.172000000000004</v>
      </c>
      <c r="H22" s="31">
        <f t="shared" si="0"/>
        <v>4.4721359549986898E-3</v>
      </c>
      <c r="I22" s="45">
        <f t="shared" si="1"/>
        <v>3.9999999999992038E-3</v>
      </c>
      <c r="J22" s="46">
        <v>2.5999999999999999E-2</v>
      </c>
      <c r="K22" s="47">
        <v>2</v>
      </c>
      <c r="L22" s="48">
        <f t="shared" si="2"/>
        <v>1.2999999999999999E-2</v>
      </c>
      <c r="M22" s="49">
        <v>2</v>
      </c>
      <c r="N22" s="48">
        <v>1.732</v>
      </c>
      <c r="O22" s="50">
        <f t="shared" si="3"/>
        <v>1.1547344110854503</v>
      </c>
      <c r="P22" s="50"/>
      <c r="Q22" s="68">
        <v>2</v>
      </c>
      <c r="R22" s="69">
        <v>1.732</v>
      </c>
      <c r="S22" s="70">
        <f t="shared" si="10"/>
        <v>0.57736720554272514</v>
      </c>
      <c r="T22" s="71">
        <f t="shared" si="4"/>
        <v>1.2911039656747543</v>
      </c>
      <c r="U22" s="72">
        <f t="shared" si="5"/>
        <v>43417507335.33136</v>
      </c>
      <c r="V22" s="73">
        <f t="shared" si="6"/>
        <v>2</v>
      </c>
      <c r="W22" s="74">
        <f t="shared" si="7"/>
        <v>2.5822079313495085</v>
      </c>
      <c r="X22" s="75"/>
      <c r="Y22" s="92">
        <v>3</v>
      </c>
      <c r="Z22" s="93">
        <f t="shared" si="8"/>
        <v>3</v>
      </c>
    </row>
    <row r="23" spans="1:26" s="3" customFormat="1" ht="18" customHeight="1" x14ac:dyDescent="0.2">
      <c r="A23" s="25">
        <f>Sheet1!O84</f>
        <v>60</v>
      </c>
      <c r="B23" s="29">
        <v>64.42</v>
      </c>
      <c r="C23" s="29">
        <v>64.42</v>
      </c>
      <c r="D23" s="29">
        <v>64.42</v>
      </c>
      <c r="E23" s="29">
        <v>64.430000000000007</v>
      </c>
      <c r="F23" s="29">
        <v>64.42</v>
      </c>
      <c r="G23" s="30">
        <f t="shared" si="9"/>
        <v>64.421999999999997</v>
      </c>
      <c r="H23" s="31">
        <f t="shared" si="0"/>
        <v>4.472135955001867E-3</v>
      </c>
      <c r="I23" s="45">
        <f t="shared" si="1"/>
        <v>3.3333333333350388E-3</v>
      </c>
      <c r="J23" s="46">
        <v>2.5999999999999999E-2</v>
      </c>
      <c r="K23" s="47">
        <v>2</v>
      </c>
      <c r="L23" s="48">
        <f t="shared" si="2"/>
        <v>1.2999999999999999E-2</v>
      </c>
      <c r="M23" s="49">
        <v>2</v>
      </c>
      <c r="N23" s="48">
        <v>1.732</v>
      </c>
      <c r="O23" s="50">
        <f t="shared" si="3"/>
        <v>1.1547344110854503</v>
      </c>
      <c r="P23" s="50"/>
      <c r="Q23" s="68">
        <v>2</v>
      </c>
      <c r="R23" s="69">
        <v>1.732</v>
      </c>
      <c r="S23" s="70">
        <f t="shared" si="10"/>
        <v>0.57736720554272514</v>
      </c>
      <c r="T23" s="71">
        <f t="shared" si="4"/>
        <v>1.2911020723754525</v>
      </c>
      <c r="U23" s="72">
        <f t="shared" si="5"/>
        <v>90030015121.475754</v>
      </c>
      <c r="V23" s="73">
        <f t="shared" si="6"/>
        <v>2</v>
      </c>
      <c r="W23" s="74">
        <f t="shared" si="7"/>
        <v>2.582204144750905</v>
      </c>
      <c r="X23" s="75"/>
      <c r="Y23" s="92">
        <v>3</v>
      </c>
      <c r="Z23" s="93">
        <f t="shared" si="8"/>
        <v>3</v>
      </c>
    </row>
    <row r="24" spans="1:26" s="3" customFormat="1" ht="18" customHeight="1" x14ac:dyDescent="0.2">
      <c r="A24" s="25">
        <f>Sheet1!O85</f>
        <v>70</v>
      </c>
      <c r="B24" s="32">
        <v>74.61</v>
      </c>
      <c r="C24" s="32">
        <v>74.61</v>
      </c>
      <c r="D24" s="32">
        <v>74.61</v>
      </c>
      <c r="E24" s="32">
        <v>74.62</v>
      </c>
      <c r="F24" s="32">
        <v>74.61</v>
      </c>
      <c r="G24" s="33">
        <f t="shared" si="9"/>
        <v>74.611999999999995</v>
      </c>
      <c r="H24" s="34">
        <f t="shared" si="0"/>
        <v>4.472135955001867E-3</v>
      </c>
      <c r="I24" s="51">
        <f t="shared" si="1"/>
        <v>2.8571428571443186E-3</v>
      </c>
      <c r="J24" s="52">
        <v>2.5999999999999999E-2</v>
      </c>
      <c r="K24" s="53">
        <v>2</v>
      </c>
      <c r="L24" s="54">
        <f t="shared" si="2"/>
        <v>1.2999999999999999E-2</v>
      </c>
      <c r="M24" s="55">
        <v>2</v>
      </c>
      <c r="N24" s="54">
        <v>1.732</v>
      </c>
      <c r="O24" s="56">
        <f t="shared" si="3"/>
        <v>1.1547344110854503</v>
      </c>
      <c r="P24" s="56"/>
      <c r="Q24" s="76">
        <v>2</v>
      </c>
      <c r="R24" s="77">
        <v>1.732</v>
      </c>
      <c r="S24" s="78">
        <f t="shared" si="10"/>
        <v>0.57736720554272514</v>
      </c>
      <c r="T24" s="79">
        <f t="shared" si="4"/>
        <v>1.2911009307743462</v>
      </c>
      <c r="U24" s="80">
        <f t="shared" si="5"/>
        <v>166791127916.57855</v>
      </c>
      <c r="V24" s="81">
        <f t="shared" si="6"/>
        <v>2</v>
      </c>
      <c r="W24" s="82">
        <f t="shared" si="7"/>
        <v>2.5822018615486924</v>
      </c>
      <c r="X24" s="83"/>
      <c r="Y24" s="94">
        <v>3</v>
      </c>
      <c r="Z24" s="95">
        <f t="shared" si="8"/>
        <v>3</v>
      </c>
    </row>
  </sheetData>
  <mergeCells count="13">
    <mergeCell ref="B5:F5"/>
    <mergeCell ref="G5:O5"/>
    <mergeCell ref="G8:O8"/>
    <mergeCell ref="B11:X11"/>
    <mergeCell ref="B16:F16"/>
    <mergeCell ref="B12:Y13"/>
    <mergeCell ref="B6:F8"/>
    <mergeCell ref="E2:H2"/>
    <mergeCell ref="I2:M2"/>
    <mergeCell ref="N2:O2"/>
    <mergeCell ref="E3:H3"/>
    <mergeCell ref="I3:M3"/>
    <mergeCell ref="N3:O3"/>
  </mergeCells>
  <pageMargins left="0.16" right="0.12" top="1" bottom="1" header="0.51" footer="0.51"/>
  <pageSetup scale="58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Windows User</cp:lastModifiedBy>
  <cp:revision>1</cp:revision>
  <cp:lastPrinted>2015-10-30T05:26:18Z</cp:lastPrinted>
  <dcterms:created xsi:type="dcterms:W3CDTF">2012-09-12T05:08:26Z</dcterms:created>
  <dcterms:modified xsi:type="dcterms:W3CDTF">2026-07-30T05:42:39Z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